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rma\Desktop\Sedimentarias\Laboratorio 4\"/>
    </mc:Choice>
  </mc:AlternateContent>
  <bookViews>
    <workbookView xWindow="0" yWindow="0" windowWidth="20490" windowHeight="7650"/>
  </bookViews>
  <sheets>
    <sheet name="CONTEO" sheetId="1" r:id="rId1"/>
    <sheet name="SIMBOLOS" sheetId="2" r:id="rId2"/>
    <sheet name="Sheet2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E19" i="3"/>
  <c r="E18" i="3"/>
  <c r="E17" i="3"/>
  <c r="E16" i="3"/>
  <c r="E15" i="3"/>
  <c r="E14" i="3"/>
  <c r="AE8" i="1" l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K62" i="1"/>
  <c r="AE61" i="1"/>
  <c r="K61" i="1"/>
  <c r="AE60" i="1"/>
  <c r="K60" i="1"/>
  <c r="AE59" i="1"/>
  <c r="K59" i="1"/>
  <c r="AE58" i="1"/>
  <c r="K58" i="1"/>
  <c r="AE57" i="1"/>
  <c r="K57" i="1"/>
  <c r="AE56" i="1"/>
  <c r="K56" i="1"/>
  <c r="AE55" i="1"/>
  <c r="K55" i="1"/>
  <c r="AE54" i="1"/>
  <c r="K54" i="1"/>
  <c r="AE53" i="1"/>
  <c r="K53" i="1"/>
  <c r="AE52" i="1"/>
  <c r="K52" i="1"/>
  <c r="AE51" i="1"/>
  <c r="K51" i="1"/>
  <c r="AE50" i="1"/>
  <c r="K50" i="1"/>
  <c r="AE49" i="1"/>
  <c r="K49" i="1"/>
  <c r="AE48" i="1"/>
  <c r="K48" i="1"/>
  <c r="AE47" i="1"/>
  <c r="K47" i="1"/>
  <c r="AE46" i="1"/>
  <c r="K46" i="1"/>
  <c r="AE45" i="1"/>
  <c r="K45" i="1"/>
  <c r="AE44" i="1"/>
  <c r="K44" i="1"/>
  <c r="AE43" i="1"/>
  <c r="K43" i="1"/>
  <c r="AE42" i="1"/>
  <c r="K42" i="1"/>
  <c r="AE41" i="1"/>
  <c r="K41" i="1"/>
  <c r="AE40" i="1"/>
  <c r="K40" i="1"/>
  <c r="AE39" i="1"/>
  <c r="K39" i="1"/>
  <c r="AE38" i="1"/>
  <c r="K38" i="1"/>
  <c r="AE37" i="1"/>
  <c r="K37" i="1"/>
  <c r="AE36" i="1"/>
  <c r="K36" i="1"/>
  <c r="AE35" i="1"/>
  <c r="K35" i="1"/>
  <c r="AE34" i="1"/>
  <c r="K34" i="1"/>
  <c r="AE33" i="1"/>
  <c r="K33" i="1"/>
  <c r="AE32" i="1"/>
  <c r="K32" i="1"/>
  <c r="AE31" i="1"/>
  <c r="K31" i="1"/>
  <c r="AE30" i="1"/>
  <c r="K30" i="1"/>
  <c r="AE29" i="1"/>
  <c r="K29" i="1"/>
  <c r="AE28" i="1"/>
  <c r="K28" i="1"/>
  <c r="AE27" i="1"/>
  <c r="K27" i="1"/>
  <c r="AE26" i="1"/>
  <c r="K26" i="1"/>
  <c r="AE25" i="1"/>
  <c r="K25" i="1"/>
  <c r="AE24" i="1"/>
  <c r="K24" i="1"/>
  <c r="AE23" i="1"/>
  <c r="K23" i="1"/>
  <c r="AE22" i="1"/>
  <c r="K22" i="1"/>
  <c r="AE21" i="1"/>
  <c r="K21" i="1"/>
  <c r="AI20" i="1"/>
  <c r="AE20" i="1"/>
  <c r="K20" i="1"/>
  <c r="AE19" i="1"/>
  <c r="K19" i="1"/>
  <c r="AI18" i="1"/>
  <c r="AE18" i="1"/>
  <c r="K18" i="1"/>
  <c r="AE17" i="1"/>
  <c r="K17" i="1"/>
  <c r="AI16" i="1"/>
  <c r="AE16" i="1"/>
  <c r="K16" i="1"/>
  <c r="AE15" i="1"/>
  <c r="K15" i="1"/>
  <c r="AI14" i="1"/>
  <c r="AE14" i="1"/>
  <c r="K14" i="1"/>
  <c r="AE13" i="1"/>
  <c r="K13" i="1"/>
  <c r="AI12" i="1"/>
  <c r="AE12" i="1"/>
  <c r="K12" i="1"/>
  <c r="AE11" i="1"/>
  <c r="K11" i="1"/>
  <c r="AI10" i="1"/>
  <c r="AE10" i="1"/>
  <c r="K10" i="1"/>
  <c r="AE9" i="1"/>
  <c r="K9" i="1"/>
  <c r="AI8" i="1"/>
  <c r="K8" i="1"/>
  <c r="AE7" i="1"/>
  <c r="S7" i="1"/>
  <c r="K7" i="1"/>
  <c r="AI6" i="1"/>
  <c r="AE6" i="1"/>
  <c r="AA6" i="1"/>
  <c r="S6" i="1"/>
  <c r="K6" i="1"/>
  <c r="AE5" i="1"/>
  <c r="AA5" i="1"/>
  <c r="S5" i="1"/>
  <c r="O5" i="1"/>
  <c r="K5" i="1"/>
  <c r="AI4" i="1"/>
  <c r="AG4" i="1"/>
  <c r="AE4" i="1"/>
  <c r="AA4" i="1"/>
  <c r="S4" i="1"/>
  <c r="O4" i="1"/>
  <c r="K4" i="1"/>
  <c r="AE3" i="1"/>
  <c r="AA3" i="1"/>
  <c r="W3" i="1"/>
  <c r="S3" i="1"/>
  <c r="O3" i="1"/>
  <c r="K3" i="1"/>
  <c r="AI2" i="1"/>
  <c r="AE2" i="1"/>
  <c r="AA2" i="1"/>
  <c r="W2" i="1"/>
  <c r="S2" i="1"/>
  <c r="O2" i="1"/>
  <c r="AH2" i="1" l="1"/>
  <c r="AM3" i="1" s="1"/>
  <c r="AP3" i="1" s="1"/>
  <c r="W4" i="1"/>
  <c r="X4" i="1" s="1"/>
  <c r="AH20" i="1"/>
  <c r="AM12" i="1" s="1"/>
  <c r="AH4" i="1"/>
  <c r="AM4" i="1" s="1"/>
  <c r="AA7" i="1"/>
  <c r="AB3" i="1" s="1"/>
  <c r="AH10" i="1"/>
  <c r="AM7" i="1" s="1"/>
  <c r="O6" i="1"/>
  <c r="P6" i="1" s="1"/>
  <c r="AH14" i="1"/>
  <c r="AM9" i="1" s="1"/>
  <c r="K63" i="1"/>
  <c r="L7" i="1" s="1"/>
  <c r="AH6" i="1"/>
  <c r="AM5" i="1" s="1"/>
  <c r="S8" i="1"/>
  <c r="T5" i="1" s="1"/>
  <c r="AJ2" i="1"/>
  <c r="AH12" i="1"/>
  <c r="AM8" i="1" s="1"/>
  <c r="AH16" i="1"/>
  <c r="AM10" i="1" s="1"/>
  <c r="AH18" i="1"/>
  <c r="AM11" i="1" s="1"/>
  <c r="AH8" i="1"/>
  <c r="AM6" i="1" s="1"/>
  <c r="AP4" i="1" l="1"/>
  <c r="AP5" i="1" s="1"/>
  <c r="AP6" i="1" s="1"/>
  <c r="AP7" i="1" s="1"/>
  <c r="AP8" i="1" s="1"/>
  <c r="AP9" i="1" s="1"/>
  <c r="AP10" i="1" s="1"/>
  <c r="AP11" i="1" s="1"/>
  <c r="AP12" i="1" s="1"/>
  <c r="X2" i="1"/>
  <c r="X3" i="1"/>
  <c r="AB2" i="1"/>
  <c r="AB7" i="1"/>
  <c r="AB5" i="1"/>
  <c r="AJ4" i="1"/>
  <c r="AJ6" i="1" s="1"/>
  <c r="AJ8" i="1" s="1"/>
  <c r="AJ10" i="1" s="1"/>
  <c r="AJ12" i="1" s="1"/>
  <c r="AJ14" i="1" s="1"/>
  <c r="AJ16" i="1" s="1"/>
  <c r="AJ18" i="1" s="1"/>
  <c r="AJ20" i="1" s="1"/>
  <c r="AB6" i="1"/>
  <c r="AB4" i="1"/>
  <c r="P3" i="1"/>
  <c r="P5" i="1"/>
  <c r="P2" i="1"/>
  <c r="P4" i="1"/>
  <c r="L15" i="1"/>
  <c r="L60" i="1"/>
  <c r="L52" i="1"/>
  <c r="L38" i="1"/>
  <c r="L62" i="1"/>
  <c r="L26" i="1"/>
  <c r="L57" i="1"/>
  <c r="L47" i="1"/>
  <c r="L39" i="1"/>
  <c r="L31" i="1"/>
  <c r="L23" i="1"/>
  <c r="L16" i="1"/>
  <c r="L13" i="1"/>
  <c r="L12" i="1"/>
  <c r="L8" i="1"/>
  <c r="L14" i="1"/>
  <c r="L59" i="1"/>
  <c r="L55" i="1"/>
  <c r="L20" i="1"/>
  <c r="L17" i="1"/>
  <c r="L3" i="1"/>
  <c r="L48" i="1"/>
  <c r="L44" i="1"/>
  <c r="L40" i="1"/>
  <c r="L36" i="1"/>
  <c r="L32" i="1"/>
  <c r="L58" i="1"/>
  <c r="L50" i="1"/>
  <c r="L34" i="1"/>
  <c r="L24" i="1"/>
  <c r="L9" i="1"/>
  <c r="T2" i="1"/>
  <c r="L53" i="1"/>
  <c r="L45" i="1"/>
  <c r="L37" i="1"/>
  <c r="L29" i="1"/>
  <c r="L21" i="1"/>
  <c r="L19" i="1"/>
  <c r="T6" i="1"/>
  <c r="L56" i="1"/>
  <c r="L46" i="1"/>
  <c r="L30" i="1"/>
  <c r="L22" i="1"/>
  <c r="L5" i="1"/>
  <c r="L51" i="1"/>
  <c r="L43" i="1"/>
  <c r="L35" i="1"/>
  <c r="L27" i="1"/>
  <c r="L18" i="1"/>
  <c r="L11" i="1"/>
  <c r="T8" i="1"/>
  <c r="T3" i="1"/>
  <c r="L54" i="1"/>
  <c r="L42" i="1"/>
  <c r="L28" i="1"/>
  <c r="L6" i="1"/>
  <c r="L4" i="1"/>
  <c r="L61" i="1"/>
  <c r="L49" i="1"/>
  <c r="L41" i="1"/>
  <c r="L33" i="1"/>
  <c r="L25" i="1"/>
  <c r="T7" i="1"/>
  <c r="L10" i="1"/>
  <c r="T4" i="1"/>
  <c r="L2" i="1"/>
  <c r="F4" i="3"/>
  <c r="E8" i="3"/>
  <c r="F8" i="3"/>
  <c r="E7" i="3"/>
  <c r="F7" i="3"/>
  <c r="E9" i="3"/>
  <c r="F9" i="3"/>
  <c r="E6" i="3"/>
  <c r="F6" i="3"/>
  <c r="E5" i="3"/>
  <c r="F5" i="3"/>
  <c r="E4" i="3"/>
  <c r="E10" i="3"/>
  <c r="F10" i="3"/>
</calcChain>
</file>

<file path=xl/sharedStrings.xml><?xml version="1.0" encoding="utf-8"?>
<sst xmlns="http://schemas.openxmlformats.org/spreadsheetml/2006/main" count="1063" uniqueCount="238">
  <si>
    <t>#</t>
  </si>
  <si>
    <t>Componente</t>
  </si>
  <si>
    <t>Tipo de Qtz</t>
  </si>
  <si>
    <t>Tamaño (mm)</t>
  </si>
  <si>
    <t>Redondez</t>
  </si>
  <si>
    <t>Esfericidad</t>
  </si>
  <si>
    <t>Contacto</t>
  </si>
  <si>
    <t>Observaciones</t>
  </si>
  <si>
    <t>cantidad</t>
  </si>
  <si>
    <t>%</t>
  </si>
  <si>
    <t>Cantidad</t>
  </si>
  <si>
    <t>tamaño en phi</t>
  </si>
  <si>
    <t>INTERVALO PHI</t>
  </si>
  <si>
    <t>FRECUENCIA</t>
  </si>
  <si>
    <t>PUNTO MEDIO PHI</t>
  </si>
  <si>
    <t>FREC. ACUMULADA</t>
  </si>
  <si>
    <t>CURVA DE FRECUENCIA</t>
  </si>
  <si>
    <t>CURVA DE FRECUENCIA ACUMULADA</t>
  </si>
  <si>
    <t>Qm</t>
  </si>
  <si>
    <t>sr</t>
  </si>
  <si>
    <t>a</t>
  </si>
  <si>
    <t>s</t>
  </si>
  <si>
    <t>mr</t>
  </si>
  <si>
    <t>f</t>
  </si>
  <si>
    <t>PORCENTAJE PESO</t>
  </si>
  <si>
    <t>PORCENTAJE PESO ACUMULADO</t>
  </si>
  <si>
    <t>r</t>
  </si>
  <si>
    <t>l</t>
  </si>
  <si>
    <t>Qpp</t>
  </si>
  <si>
    <t>b</t>
  </si>
  <si>
    <t>p</t>
  </si>
  <si>
    <t>Fd</t>
  </si>
  <si>
    <t>Qpd</t>
  </si>
  <si>
    <t>Total</t>
  </si>
  <si>
    <t>c</t>
  </si>
  <si>
    <t>Qpf</t>
  </si>
  <si>
    <t>sa</t>
  </si>
  <si>
    <t>cuarzo anguloso</t>
  </si>
  <si>
    <t>Plg</t>
  </si>
  <si>
    <t>ma</t>
  </si>
  <si>
    <t>cemento</t>
  </si>
  <si>
    <t>Bt</t>
  </si>
  <si>
    <t>Msc</t>
  </si>
  <si>
    <t>Chl</t>
  </si>
  <si>
    <t>Anf</t>
  </si>
  <si>
    <t>Prx</t>
  </si>
  <si>
    <t>ep</t>
  </si>
  <si>
    <t>zoi</t>
  </si>
  <si>
    <t>LM</t>
  </si>
  <si>
    <t>LV</t>
  </si>
  <si>
    <t>LP</t>
  </si>
  <si>
    <t>LS</t>
  </si>
  <si>
    <t>Cb</t>
  </si>
  <si>
    <t>Cemento</t>
  </si>
  <si>
    <t>Poro</t>
  </si>
  <si>
    <t>Matriz</t>
  </si>
  <si>
    <t>total</t>
  </si>
  <si>
    <t>Qtz</t>
  </si>
  <si>
    <t>Cuarzo</t>
  </si>
  <si>
    <t>muy redondeado</t>
  </si>
  <si>
    <t>alta</t>
  </si>
  <si>
    <t>flotante</t>
  </si>
  <si>
    <t>Cuarzo monocristalino</t>
  </si>
  <si>
    <t>redondeado</t>
  </si>
  <si>
    <t>baja</t>
  </si>
  <si>
    <t>puntual</t>
  </si>
  <si>
    <t>Cuarzo policristalino poligonal</t>
  </si>
  <si>
    <t>subredondeado</t>
  </si>
  <si>
    <t>cóncavo-convexo</t>
  </si>
  <si>
    <t>Cuarzo policristalino difuso</t>
  </si>
  <si>
    <t>subangular</t>
  </si>
  <si>
    <t>largo</t>
  </si>
  <si>
    <t>Cuarzo policristalino foliado</t>
  </si>
  <si>
    <t>angular</t>
  </si>
  <si>
    <t>suturado</t>
  </si>
  <si>
    <t>Feldespato</t>
  </si>
  <si>
    <t>muy angular</t>
  </si>
  <si>
    <t>Plagioclasa</t>
  </si>
  <si>
    <t>Biotita</t>
  </si>
  <si>
    <t>Moscovita</t>
  </si>
  <si>
    <t>Clorita</t>
  </si>
  <si>
    <t>Anfíbol</t>
  </si>
  <si>
    <t>Piroxeno</t>
  </si>
  <si>
    <t>Epidota</t>
  </si>
  <si>
    <t>Zoisita</t>
  </si>
  <si>
    <t>Lítico metamórfico</t>
  </si>
  <si>
    <t>Lítico volcánico</t>
  </si>
  <si>
    <t>Lítico plutónico</t>
  </si>
  <si>
    <t>Lítico sedimentario</t>
  </si>
  <si>
    <t>Carbonato</t>
  </si>
  <si>
    <t>Presenta textura felsitica con granos de plagioclasas intruidos</t>
  </si>
  <si>
    <t>presenta una intrusion de un pequeño grano de zircón</t>
  </si>
  <si>
    <t>Presenta bandeamiento marcado</t>
  </si>
  <si>
    <t>Presenta extincion ondulada</t>
  </si>
  <si>
    <t>presenta extincion ondulada</t>
  </si>
  <si>
    <t>presenta maclaje</t>
  </si>
  <si>
    <t>Presenta vidrio y con algunas plagioclasas intruidas</t>
  </si>
  <si>
    <t>P</t>
  </si>
  <si>
    <t>Texturas felsitica englobando biotitas y plagioclasas</t>
  </si>
  <si>
    <t>Presentaba fracturas</t>
  </si>
  <si>
    <t>Litico volcanico de textura felsitica</t>
  </si>
  <si>
    <t>presencia de macla polisintetico</t>
  </si>
  <si>
    <t>Fragmento de vidrio rodeando plagioclasas</t>
  </si>
  <si>
    <t>Con presencia de fiammes</t>
  </si>
  <si>
    <t>Felsitico con inclusion de biotita euhedral</t>
  </si>
  <si>
    <t xml:space="preserve"> sr</t>
  </si>
  <si>
    <t>Vidrio englobando minerales opacos, plagioclasas y biotitas</t>
  </si>
  <si>
    <t xml:space="preserve"> sa</t>
  </si>
  <si>
    <t>Biotita tabular</t>
  </si>
  <si>
    <t>Sin zonacion</t>
  </si>
  <si>
    <t>contacto de dos cuarzos con extinciones diferentes</t>
  </si>
  <si>
    <t>Plagioclasa con zonación</t>
  </si>
  <si>
    <t>Liticos volanicas con presencia de microlitos</t>
  </si>
  <si>
    <t>Buotita en contacto con plagioclasas muy sericitadas</t>
  </si>
  <si>
    <t>Plagioclasa con maclaje</t>
  </si>
  <si>
    <t xml:space="preserve">plagioclasas </t>
  </si>
  <si>
    <t>Plagioclasas con maclas secundarias de deformación</t>
  </si>
  <si>
    <t>Probablenmente una aresnica</t>
  </si>
  <si>
    <t>Presencia muy marcada de fiammes y plagioclasas euedrales</t>
  </si>
  <si>
    <t>Probalemente se trate de un litico Pizarroso</t>
  </si>
  <si>
    <t>Plagioclasas con iniciacion de sericititación</t>
  </si>
  <si>
    <t>Cuarzo sin extincion ondulatoria</t>
  </si>
  <si>
    <t>Plagioclas de forma esferica casi perfecta</t>
  </si>
  <si>
    <t>Moscovita con clivaje caracteristico evidente</t>
  </si>
  <si>
    <t>Litico sedimentario con presencia de plagioclasas y micas</t>
  </si>
  <si>
    <t>Plagioclasas con maclas de deformación</t>
  </si>
  <si>
    <t>Anfibolo con una inclusión de plagioclasa</t>
  </si>
  <si>
    <t>Engloba una gran plagioclasas y algunos minerales opacos</t>
  </si>
  <si>
    <t>Engloba plagioclas y biotitas</t>
  </si>
  <si>
    <t>Presenta extinción ondulatoria</t>
  </si>
  <si>
    <t>Presenta una macla simple marcada</t>
  </si>
  <si>
    <t>cuarzos con diferente extinción</t>
  </si>
  <si>
    <t>Englobando minerales maficos</t>
  </si>
  <si>
    <t>Con un contacto mu marcado de vidrio</t>
  </si>
  <si>
    <t>Presententan los cristales extinciones distintas</t>
  </si>
  <si>
    <t>Con fracturas</t>
  </si>
  <si>
    <t>Englobla plagioclasas, biotitas y minerales opacos</t>
  </si>
  <si>
    <t>Engloba plagioclasas</t>
  </si>
  <si>
    <t>Presencia de fiammes</t>
  </si>
  <si>
    <t>Presenta un contacto neto con plagioclasa sericitizada</t>
  </si>
  <si>
    <t>Presenta una parte muy redondeada y otra muy angular</t>
  </si>
  <si>
    <t>Con difentes extinciones</t>
  </si>
  <si>
    <t>Englobando plagioclasas</t>
  </si>
  <si>
    <t>Con clivaje caracteristico</t>
  </si>
  <si>
    <t>Engloba plagioclasas y opacos</t>
  </si>
  <si>
    <t>un poco sericitizada</t>
  </si>
  <si>
    <t>extincion ondulada</t>
  </si>
  <si>
    <t>Con macla de deformacion</t>
  </si>
  <si>
    <t>Macla polisintetica</t>
  </si>
  <si>
    <t>Muy oxidado</t>
  </si>
  <si>
    <t>Englobando plagioclasas y feldepatos</t>
  </si>
  <si>
    <t>un poco alterado</t>
  </si>
  <si>
    <t>Con extincion ondulatoria</t>
  </si>
  <si>
    <t>Chert</t>
  </si>
  <si>
    <t>Con inclusion de zircon</t>
  </si>
  <si>
    <t>extincion caracteristica</t>
  </si>
  <si>
    <t>deformada</t>
  </si>
  <si>
    <t>Macla simple</t>
  </si>
  <si>
    <t>Engloba plagioclasas, feldestpato y otros maficos</t>
  </si>
  <si>
    <t>Muy tabular</t>
  </si>
  <si>
    <t>Uno de los granos mas grandes de la muestra</t>
  </si>
  <si>
    <t>Engloba plagioclasas y minerales opacos</t>
  </si>
  <si>
    <t>Con extincion caracteristicas</t>
  </si>
  <si>
    <t>Con macla simple</t>
  </si>
  <si>
    <t>Con diferentes extinciones</t>
  </si>
  <si>
    <t>Con macla polisintetica</t>
  </si>
  <si>
    <t>Con textura intersticial</t>
  </si>
  <si>
    <t>cuazo con una ondulacion bastante marcada</t>
  </si>
  <si>
    <t xml:space="preserve">c </t>
  </si>
  <si>
    <t>englobando mosocovita y minerales opacos</t>
  </si>
  <si>
    <t>diferentes extinciones</t>
  </si>
  <si>
    <t>con extincion ondulada</t>
  </si>
  <si>
    <t>se encuentra zonada</t>
  </si>
  <si>
    <t>con macla de deformacion</t>
  </si>
  <si>
    <t>presenta zonacion</t>
  </si>
  <si>
    <t>muy fracurado y en forma globular</t>
  </si>
  <si>
    <t>Englobando plagioclasas muy deformadas</t>
  </si>
  <si>
    <t>Con una zonacion bastante marcada</t>
  </si>
  <si>
    <t>Con textura felsitica englobando algunos minerales maficos</t>
  </si>
  <si>
    <t>Curiosamente bastante redondeado</t>
  </si>
  <si>
    <t>plagioclasa que sufrio deformación</t>
  </si>
  <si>
    <t>Cuarzos con diferentes extinciones</t>
  </si>
  <si>
    <t xml:space="preserve"> b</t>
  </si>
  <si>
    <t>Se encuentra rodiada por muchos cuarzos</t>
  </si>
  <si>
    <t>Con un cuazo incluido en el</t>
  </si>
  <si>
    <t>Con foliaciones muy caracteristicas</t>
  </si>
  <si>
    <t>Cuarzos muy poligonales, parece textura cumular</t>
  </si>
  <si>
    <t>Con colores de interferencia tipicos de los feldespatos K</t>
  </si>
  <si>
    <t>Con clivaje y color de interferenci caracteristicos</t>
  </si>
  <si>
    <t>Se encuentra bastante fracturado</t>
  </si>
  <si>
    <t>Con extincion y color caracteristicos de la biotita</t>
  </si>
  <si>
    <t>englobando plagioclasas</t>
  </si>
  <si>
    <t>con inclusion de mineral opaco</t>
  </si>
  <si>
    <t>con zonaciones ambos cristales</t>
  </si>
  <si>
    <t>zonacion caracteristica</t>
  </si>
  <si>
    <t>Con colores caracteristicos de una biotita</t>
  </si>
  <si>
    <t>polisintetico</t>
  </si>
  <si>
    <t>Extincion ondulada</t>
  </si>
  <si>
    <t>con maclas de deformacion</t>
  </si>
  <si>
    <t>Ondulaciones diferentes</t>
  </si>
  <si>
    <t>Con zonacion y maclaje</t>
  </si>
  <si>
    <t>Con inlusiones opacos</t>
  </si>
  <si>
    <t>Con presencia de fiames y algunas plagioclasas englobadas</t>
  </si>
  <si>
    <t>Englobando plagioclasas y un cuarzo zonado</t>
  </si>
  <si>
    <t>con presencia de fiammes</t>
  </si>
  <si>
    <t>Con macla polisintetico</t>
  </si>
  <si>
    <t>Englobando plagioclasas y anfibol</t>
  </si>
  <si>
    <t>Presencia de maclaje</t>
  </si>
  <si>
    <t>Con extincion ondulatoria y fracturado</t>
  </si>
  <si>
    <t>en forma tabular</t>
  </si>
  <si>
    <t>Con clivaje caracteristio</t>
  </si>
  <si>
    <t>Corresponde a un chert</t>
  </si>
  <si>
    <t>Con colores de interfericia caracteristicos de piroxenos</t>
  </si>
  <si>
    <t>Por ahora es el litico mas grande encontrado.</t>
  </si>
  <si>
    <t>Englobando minerales maficos y plagioclasas</t>
  </si>
  <si>
    <t>con colores caracteristicos</t>
  </si>
  <si>
    <t>muy carcomido</t>
  </si>
  <si>
    <t>Corte basal de biotita</t>
  </si>
  <si>
    <t>Con textura traquitica muy marcada</t>
  </si>
  <si>
    <t>Con una zonacion muy marcada</t>
  </si>
  <si>
    <t>Cusiosamente se encuentra de forma equidimensional.</t>
  </si>
  <si>
    <t>Con alteracion por sericitizacion</t>
  </si>
  <si>
    <t>En forma tabular</t>
  </si>
  <si>
    <t>Con maclas de deformación</t>
  </si>
  <si>
    <t>con presencia de fracturas</t>
  </si>
  <si>
    <t>Se encuentra bastante fracturado y con macla de deformacion</t>
  </si>
  <si>
    <t>Corresponde a un chert englobando moscovita</t>
  </si>
  <si>
    <t>Muy fracturada</t>
  </si>
  <si>
    <t>Con colores de interferencia caracteristicos</t>
  </si>
  <si>
    <t>Con extincion carateristica</t>
  </si>
  <si>
    <t>Con relieve alto</t>
  </si>
  <si>
    <t xml:space="preserve"> </t>
  </si>
  <si>
    <t>Muy Redondeado</t>
  </si>
  <si>
    <t>Redondeado</t>
  </si>
  <si>
    <t>Subredondeado</t>
  </si>
  <si>
    <t>Subangular</t>
  </si>
  <si>
    <t>Angular</t>
  </si>
  <si>
    <t>Muy 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</si>
</sst>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2" fontId="1" fillId="0" borderId="4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/>
    <xf numFmtId="0" fontId="1" fillId="2" borderId="8" xfId="0" applyFont="1" applyFill="1" applyBorder="1" applyAlignment="1">
      <alignment horizontal="center"/>
    </xf>
    <xf numFmtId="0" fontId="2" fillId="0" borderId="9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Redondez</a:t>
            </a:r>
            <a:r>
              <a:rPr lang="en-US" baseline="0"/>
              <a:t> Muestra 16039-ES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3888888888888888E-2"/>
          <c:y val="0.1850696267133275"/>
          <c:w val="0.69725896762904638"/>
          <c:h val="0.7547451881014872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0894-4783-87A3-EA5B224D81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894-4783-87A3-EA5B224D81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0.55833223972003498"/>
                  <c:y val="0.2231113298337707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894-4783-87A3-EA5B224D817D}"/>
                </c:ext>
              </c:extLst>
            </c:dLbl>
            <c:dLbl>
              <c:idx val="1"/>
              <c:layout>
                <c:manualLayout>
                  <c:x val="-1.2855861767279091E-2"/>
                  <c:y val="0.1215303295421405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894-4783-87A3-EA5B224D817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Sheet2!$D$4:$D$9</c:f>
              <c:strCache>
                <c:ptCount val="6"/>
                <c:pt idx="0">
                  <c:v>Muy Redondeado</c:v>
                </c:pt>
                <c:pt idx="1">
                  <c:v>Redondeado</c:v>
                </c:pt>
                <c:pt idx="2">
                  <c:v>Subredondeado</c:v>
                </c:pt>
                <c:pt idx="3">
                  <c:v>Subangular</c:v>
                </c:pt>
                <c:pt idx="4">
                  <c:v>Angular</c:v>
                </c:pt>
                <c:pt idx="5">
                  <c:v>Muy Angular</c:v>
                </c:pt>
              </c:strCache>
            </c:strRef>
          </c:cat>
          <c:val>
            <c:numRef>
              <c:f>Sheet2!$E$4:$E$9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24</c:v>
                </c:pt>
                <c:pt idx="3">
                  <c:v>35</c:v>
                </c:pt>
                <c:pt idx="4">
                  <c:v>78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4-4783-87A3-EA5B224D817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70341207349073"/>
          <c:y val="0.3373246573344999"/>
          <c:w val="0.22496325459317584"/>
          <c:h val="0.4687532808398950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Redondez</a:t>
            </a:r>
            <a:r>
              <a:rPr lang="en-US" baseline="0"/>
              <a:t> Muestra 16039-ES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Sheet2!$D$4</c:f>
              <c:strCache>
                <c:ptCount val="1"/>
                <c:pt idx="0">
                  <c:v>Muy Redondeado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4-4A67-B761-82D655E09DC4}"/>
            </c:ext>
          </c:extLst>
        </c:ser>
        <c:ser>
          <c:idx val="1"/>
          <c:order val="1"/>
          <c:tx>
            <c:strRef>
              <c:f>Sheet2!$D$5</c:f>
              <c:strCache>
                <c:ptCount val="1"/>
                <c:pt idx="0">
                  <c:v>Redondeado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Sheet2!$E$5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4-4A67-B761-82D655E09DC4}"/>
            </c:ext>
          </c:extLst>
        </c:ser>
        <c:ser>
          <c:idx val="2"/>
          <c:order val="2"/>
          <c:tx>
            <c:strRef>
              <c:f>Sheet2!$D$6</c:f>
              <c:strCache>
                <c:ptCount val="1"/>
                <c:pt idx="0">
                  <c:v>Subredondeado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Sheet2!$E$6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44-4A67-B761-82D655E09DC4}"/>
            </c:ext>
          </c:extLst>
        </c:ser>
        <c:ser>
          <c:idx val="3"/>
          <c:order val="3"/>
          <c:tx>
            <c:strRef>
              <c:f>Sheet2!$D$7</c:f>
              <c:strCache>
                <c:ptCount val="1"/>
                <c:pt idx="0">
                  <c:v>Subangular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Sheet2!$E$7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44-4A67-B761-82D655E09DC4}"/>
            </c:ext>
          </c:extLst>
        </c:ser>
        <c:ser>
          <c:idx val="4"/>
          <c:order val="4"/>
          <c:tx>
            <c:strRef>
              <c:f>Sheet2!$D$8</c:f>
              <c:strCache>
                <c:ptCount val="1"/>
                <c:pt idx="0">
                  <c:v>Angular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Sheet2!$E$8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44-4A67-B761-82D655E09DC4}"/>
            </c:ext>
          </c:extLst>
        </c:ser>
        <c:ser>
          <c:idx val="5"/>
          <c:order val="5"/>
          <c:tx>
            <c:strRef>
              <c:f>Sheet2!$D$9</c:f>
              <c:strCache>
                <c:ptCount val="1"/>
                <c:pt idx="0">
                  <c:v>Muy Angular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Sheet2!$E$9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44-4A67-B761-82D655E09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8564520"/>
        <c:axId val="418563864"/>
      </c:barChart>
      <c:catAx>
        <c:axId val="418564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563864"/>
        <c:crosses val="autoZero"/>
        <c:auto val="1"/>
        <c:lblAlgn val="ctr"/>
        <c:lblOffset val="100"/>
        <c:noMultiLvlLbl val="0"/>
      </c:catAx>
      <c:valAx>
        <c:axId val="41856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6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0</xdr:row>
      <xdr:rowOff>95250</xdr:rowOff>
    </xdr:from>
    <xdr:to>
      <xdr:col>13</xdr:col>
      <xdr:colOff>171450</xdr:colOff>
      <xdr:row>14</xdr:row>
      <xdr:rowOff>171450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657225</xdr:colOff>
      <xdr:row>15</xdr:row>
      <xdr:rowOff>161925</xdr:rowOff>
    </xdr:from>
    <xdr:to>
      <xdr:col>12</xdr:col>
      <xdr:colOff>419100</xdr:colOff>
      <xdr:row>30</xdr:row>
      <xdr:rowOff>47625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0"/>
  <sheetViews>
    <sheetView tabSelected="1" topLeftCell="F43" zoomScale="115" zoomScaleNormal="115" workbookViewId="0">
      <selection activeCell="K2" sqref="K2:K5"/>
    </sheetView>
  </sheetViews>
  <sheetFormatPr baseColWidth="10" defaultColWidth="14.42578125" defaultRowHeight="15" customHeight="1"/>
  <cols>
    <col min="1" max="1" width="4.42578125" customWidth="1"/>
    <col min="2" max="2" width="13" customWidth="1"/>
    <col min="3" max="3" width="11.42578125" customWidth="1"/>
    <col min="4" max="4" width="13.28515625" customWidth="1"/>
    <col min="5" max="6" width="11.42578125" customWidth="1"/>
    <col min="7" max="7" width="14" customWidth="1"/>
    <col min="8" max="8" width="57.42578125" customWidth="1"/>
    <col min="9" max="9" width="11.42578125" customWidth="1"/>
    <col min="10" max="10" width="15.7109375" customWidth="1"/>
    <col min="11" max="11" width="11.42578125" customWidth="1"/>
    <col min="12" max="12" width="15.42578125" customWidth="1"/>
    <col min="13" max="13" width="23" customWidth="1"/>
    <col min="14" max="30" width="11.42578125" customWidth="1"/>
    <col min="31" max="31" width="13.7109375" customWidth="1"/>
    <col min="32" max="35" width="11.42578125" customWidth="1"/>
    <col min="36" max="36" width="13.42578125" customWidth="1"/>
    <col min="37" max="37" width="11.42578125" customWidth="1"/>
    <col min="38" max="38" width="13.7109375" customWidth="1"/>
    <col min="39" max="39" width="12.7109375" customWidth="1"/>
    <col min="40" max="41" width="11.42578125" customWidth="1"/>
    <col min="42" max="42" width="16.28515625" customWidth="1"/>
  </cols>
  <sheetData>
    <row r="1" spans="1:4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1</v>
      </c>
      <c r="K1" s="1" t="s">
        <v>8</v>
      </c>
      <c r="L1" s="1" t="s">
        <v>9</v>
      </c>
      <c r="M1" s="2"/>
      <c r="N1" s="1" t="s">
        <v>2</v>
      </c>
      <c r="O1" s="1" t="s">
        <v>10</v>
      </c>
      <c r="P1" s="1" t="s">
        <v>9</v>
      </c>
      <c r="Q1" s="2"/>
      <c r="R1" s="1" t="s">
        <v>4</v>
      </c>
      <c r="S1" s="1" t="s">
        <v>8</v>
      </c>
      <c r="T1" s="1" t="s">
        <v>9</v>
      </c>
      <c r="U1" s="2"/>
      <c r="V1" s="1" t="s">
        <v>5</v>
      </c>
      <c r="W1" s="1" t="s">
        <v>10</v>
      </c>
      <c r="X1" s="1" t="s">
        <v>9</v>
      </c>
      <c r="Y1" s="2"/>
      <c r="Z1" s="1" t="s">
        <v>6</v>
      </c>
      <c r="AA1" s="1" t="s">
        <v>10</v>
      </c>
      <c r="AB1" s="1" t="s">
        <v>9</v>
      </c>
      <c r="AC1" s="2"/>
      <c r="AD1" s="2"/>
      <c r="AE1" s="1" t="s">
        <v>11</v>
      </c>
      <c r="AF1" s="2"/>
      <c r="AG1" s="1" t="s">
        <v>12</v>
      </c>
      <c r="AH1" s="1" t="s">
        <v>13</v>
      </c>
      <c r="AI1" s="1" t="s">
        <v>14</v>
      </c>
      <c r="AJ1" s="1" t="s">
        <v>15</v>
      </c>
      <c r="AK1" s="2"/>
      <c r="AL1" s="38" t="s">
        <v>16</v>
      </c>
      <c r="AM1" s="39"/>
      <c r="AN1" s="2"/>
      <c r="AO1" s="38" t="s">
        <v>17</v>
      </c>
      <c r="AP1" s="39"/>
    </row>
    <row r="2" spans="1:42" ht="14.25" customHeight="1">
      <c r="A2" s="1">
        <v>1</v>
      </c>
      <c r="B2" s="3" t="s">
        <v>49</v>
      </c>
      <c r="C2" s="4"/>
      <c r="D2" s="29">
        <v>1</v>
      </c>
      <c r="E2" s="4" t="s">
        <v>36</v>
      </c>
      <c r="F2" s="4" t="s">
        <v>29</v>
      </c>
      <c r="G2" s="4" t="s">
        <v>30</v>
      </c>
      <c r="H2" s="5" t="s">
        <v>90</v>
      </c>
      <c r="I2" s="2"/>
      <c r="J2" s="6" t="s">
        <v>18</v>
      </c>
      <c r="K2" s="6">
        <f>COUNTIF($B:$B,J2)</f>
        <v>28</v>
      </c>
      <c r="L2" s="6">
        <f t="shared" ref="L2:L62" si="0">(K2*100)/$K$63</f>
        <v>14</v>
      </c>
      <c r="M2" s="2"/>
      <c r="N2" s="7" t="s">
        <v>18</v>
      </c>
      <c r="O2" s="6">
        <f t="shared" ref="O2:O5" si="1">COUNTIF($B:$B,N2)</f>
        <v>28</v>
      </c>
      <c r="P2" s="6">
        <f t="shared" ref="P2:P5" si="2">(O2*100)/$O$6</f>
        <v>62.222222222222221</v>
      </c>
      <c r="Q2" s="2"/>
      <c r="R2" s="6" t="s">
        <v>22</v>
      </c>
      <c r="S2" s="6">
        <f t="shared" ref="S2:S7" si="3">COUNTIF($E:$E,R2)</f>
        <v>2</v>
      </c>
      <c r="T2" s="6">
        <f t="shared" ref="T2:T8" si="4">(S2*100)/$S$8</f>
        <v>1.1560693641618498</v>
      </c>
      <c r="U2" s="2"/>
      <c r="V2" s="6" t="s">
        <v>20</v>
      </c>
      <c r="W2" s="6">
        <f t="shared" ref="W2:W3" si="5">COUNTIF($F:$F,V2)</f>
        <v>25</v>
      </c>
      <c r="X2" s="6">
        <f t="shared" ref="X2:X4" si="6">(W2*100)/$W$4</f>
        <v>14.367816091954023</v>
      </c>
      <c r="Y2" s="2"/>
      <c r="Z2" s="6" t="s">
        <v>23</v>
      </c>
      <c r="AA2" s="6">
        <f t="shared" ref="AA2:AA6" si="7">COUNTIF($G:$G,Z2)</f>
        <v>3</v>
      </c>
      <c r="AB2" s="6">
        <f t="shared" ref="AB2:AB7" si="8">(AA2*100)/$AA$7</f>
        <v>1.7341040462427746</v>
      </c>
      <c r="AC2" s="2"/>
      <c r="AD2" s="2"/>
      <c r="AE2" s="6">
        <f t="shared" ref="AE2:AE101" si="9">LOG(D2,2)*(-1)</f>
        <v>0</v>
      </c>
      <c r="AF2" s="2"/>
      <c r="AG2" s="6">
        <v>-3</v>
      </c>
      <c r="AH2" s="37">
        <f>COUNTIFS($AE:$AE,"&gt;=-3",$AE:$AE,"&lt;-2")</f>
        <v>0</v>
      </c>
      <c r="AI2" s="35">
        <f>(AG2+AG3)/2</f>
        <v>-2.5</v>
      </c>
      <c r="AJ2" s="37">
        <f>AH2</f>
        <v>0</v>
      </c>
      <c r="AK2" s="2"/>
      <c r="AL2" s="6" t="s">
        <v>14</v>
      </c>
      <c r="AM2" s="6" t="s">
        <v>24</v>
      </c>
      <c r="AN2" s="2"/>
      <c r="AO2" s="6" t="s">
        <v>14</v>
      </c>
      <c r="AP2" s="6" t="s">
        <v>25</v>
      </c>
    </row>
    <row r="3" spans="1:42">
      <c r="A3" s="1">
        <v>2</v>
      </c>
      <c r="B3" s="8" t="s">
        <v>40</v>
      </c>
      <c r="C3" s="9"/>
      <c r="D3" s="30"/>
      <c r="E3" s="10"/>
      <c r="F3" s="10"/>
      <c r="G3" s="10"/>
      <c r="H3" s="5"/>
      <c r="I3" s="2"/>
      <c r="J3" s="6" t="s">
        <v>28</v>
      </c>
      <c r="K3" s="6">
        <f t="shared" ref="K2:K62" si="10">COUNTIF($B:$B,J3)</f>
        <v>11</v>
      </c>
      <c r="L3" s="6">
        <f t="shared" si="0"/>
        <v>5.5</v>
      </c>
      <c r="M3" s="2"/>
      <c r="N3" s="7" t="s">
        <v>28</v>
      </c>
      <c r="O3" s="6">
        <f t="shared" si="1"/>
        <v>11</v>
      </c>
      <c r="P3" s="6">
        <f t="shared" si="2"/>
        <v>24.444444444444443</v>
      </c>
      <c r="Q3" s="2"/>
      <c r="R3" s="6" t="s">
        <v>26</v>
      </c>
      <c r="S3" s="6">
        <f t="shared" si="3"/>
        <v>4</v>
      </c>
      <c r="T3" s="6">
        <f t="shared" si="4"/>
        <v>2.3121387283236996</v>
      </c>
      <c r="U3" s="2"/>
      <c r="V3" s="6" t="s">
        <v>29</v>
      </c>
      <c r="W3" s="6">
        <f t="shared" si="5"/>
        <v>149</v>
      </c>
      <c r="X3" s="6">
        <f t="shared" si="6"/>
        <v>85.632183908045974</v>
      </c>
      <c r="Y3" s="2"/>
      <c r="Z3" s="6" t="s">
        <v>30</v>
      </c>
      <c r="AA3" s="6">
        <f t="shared" si="7"/>
        <v>99</v>
      </c>
      <c r="AB3" s="6">
        <f t="shared" si="8"/>
        <v>57.225433526011564</v>
      </c>
      <c r="AC3" s="2"/>
      <c r="AD3" s="2"/>
      <c r="AE3" s="6" t="e">
        <f t="shared" si="9"/>
        <v>#NUM!</v>
      </c>
      <c r="AF3" s="2"/>
      <c r="AG3" s="6">
        <v>-2</v>
      </c>
      <c r="AH3" s="36"/>
      <c r="AI3" s="36"/>
      <c r="AJ3" s="36"/>
      <c r="AK3" s="2"/>
      <c r="AL3" s="6">
        <v>-2.5</v>
      </c>
      <c r="AM3" s="11">
        <f>(AH2*100)/100</f>
        <v>0</v>
      </c>
      <c r="AN3" s="2"/>
      <c r="AO3" s="6">
        <v>-2.5</v>
      </c>
      <c r="AP3" s="11">
        <f>AM3</f>
        <v>0</v>
      </c>
    </row>
    <row r="4" spans="1:42">
      <c r="A4" s="1">
        <v>3</v>
      </c>
      <c r="B4" s="12" t="s">
        <v>41</v>
      </c>
      <c r="C4" s="13"/>
      <c r="D4" s="30">
        <v>0.2</v>
      </c>
      <c r="E4" s="13" t="s">
        <v>19</v>
      </c>
      <c r="F4" s="13" t="s">
        <v>29</v>
      </c>
      <c r="G4" s="13" t="s">
        <v>27</v>
      </c>
      <c r="H4" s="5" t="s">
        <v>91</v>
      </c>
      <c r="I4" s="2"/>
      <c r="J4" s="6" t="s">
        <v>32</v>
      </c>
      <c r="K4" s="6">
        <f t="shared" si="10"/>
        <v>3</v>
      </c>
      <c r="L4" s="6">
        <f t="shared" si="0"/>
        <v>1.5</v>
      </c>
      <c r="M4" s="2"/>
      <c r="N4" s="7" t="s">
        <v>32</v>
      </c>
      <c r="O4" s="6">
        <f t="shared" si="1"/>
        <v>3</v>
      </c>
      <c r="P4" s="6">
        <f t="shared" si="2"/>
        <v>6.666666666666667</v>
      </c>
      <c r="Q4" s="2"/>
      <c r="R4" s="6" t="s">
        <v>19</v>
      </c>
      <c r="S4" s="6">
        <f t="shared" si="3"/>
        <v>25</v>
      </c>
      <c r="T4" s="6">
        <f t="shared" si="4"/>
        <v>14.450867052023121</v>
      </c>
      <c r="U4" s="2"/>
      <c r="V4" s="6" t="s">
        <v>33</v>
      </c>
      <c r="W4" s="6">
        <f>SUM(W2:W3)</f>
        <v>174</v>
      </c>
      <c r="X4" s="6">
        <f t="shared" si="6"/>
        <v>100</v>
      </c>
      <c r="Y4" s="2"/>
      <c r="Z4" s="6" t="s">
        <v>34</v>
      </c>
      <c r="AA4" s="6">
        <f t="shared" si="7"/>
        <v>15</v>
      </c>
      <c r="AB4" s="6">
        <f t="shared" si="8"/>
        <v>8.6705202312138727</v>
      </c>
      <c r="AC4" s="2"/>
      <c r="AD4" s="2"/>
      <c r="AE4" s="6">
        <f t="shared" si="9"/>
        <v>2.3219280948873622</v>
      </c>
      <c r="AF4" s="2"/>
      <c r="AG4" s="6">
        <f>-A2-1</f>
        <v>-2</v>
      </c>
      <c r="AH4" s="37">
        <f>COUNTIFS($AE:$AE,"&gt;=-2",$AE:$AE,"&lt;-1")</f>
        <v>0</v>
      </c>
      <c r="AI4" s="35">
        <f>(AG4+AG5)/2</f>
        <v>-1.5</v>
      </c>
      <c r="AJ4" s="37">
        <f>AJ2+AH4</f>
        <v>0</v>
      </c>
      <c r="AK4" s="2"/>
      <c r="AL4" s="6">
        <v>-1.5</v>
      </c>
      <c r="AM4" s="11">
        <f>(AH4*100)/100</f>
        <v>0</v>
      </c>
      <c r="AN4" s="2"/>
      <c r="AO4" s="6">
        <v>-1.5</v>
      </c>
      <c r="AP4" s="11">
        <f t="shared" ref="AP4:AP12" si="11">AP3+AM4</f>
        <v>0</v>
      </c>
    </row>
    <row r="5" spans="1:42">
      <c r="A5" s="1">
        <v>4</v>
      </c>
      <c r="B5" s="12" t="s">
        <v>48</v>
      </c>
      <c r="C5" s="13"/>
      <c r="D5" s="30">
        <v>1</v>
      </c>
      <c r="E5" s="13" t="s">
        <v>20</v>
      </c>
      <c r="F5" s="13" t="s">
        <v>29</v>
      </c>
      <c r="G5" s="13" t="s">
        <v>34</v>
      </c>
      <c r="H5" s="5" t="s">
        <v>92</v>
      </c>
      <c r="I5" s="2"/>
      <c r="J5" s="14" t="s">
        <v>35</v>
      </c>
      <c r="K5" s="15">
        <f t="shared" si="10"/>
        <v>3</v>
      </c>
      <c r="L5" s="6">
        <f t="shared" si="0"/>
        <v>1.5</v>
      </c>
      <c r="M5" s="2"/>
      <c r="N5" s="7" t="s">
        <v>35</v>
      </c>
      <c r="O5" s="6">
        <f t="shared" si="1"/>
        <v>3</v>
      </c>
      <c r="P5" s="6">
        <f t="shared" si="2"/>
        <v>6.666666666666667</v>
      </c>
      <c r="Q5" s="2"/>
      <c r="R5" s="6" t="s">
        <v>36</v>
      </c>
      <c r="S5" s="6">
        <f t="shared" si="3"/>
        <v>35</v>
      </c>
      <c r="T5" s="6">
        <f t="shared" si="4"/>
        <v>20.23121387283237</v>
      </c>
      <c r="U5" s="2"/>
      <c r="V5" s="2"/>
      <c r="W5" s="2"/>
      <c r="X5" s="2"/>
      <c r="Y5" s="2"/>
      <c r="Z5" s="6" t="s">
        <v>27</v>
      </c>
      <c r="AA5" s="6">
        <f t="shared" si="7"/>
        <v>40</v>
      </c>
      <c r="AB5" s="6">
        <f t="shared" si="8"/>
        <v>23.121387283236995</v>
      </c>
      <c r="AC5" s="2"/>
      <c r="AD5" s="2"/>
      <c r="AE5" s="6">
        <f t="shared" si="9"/>
        <v>0</v>
      </c>
      <c r="AF5" s="2"/>
      <c r="AG5" s="6">
        <v>-1</v>
      </c>
      <c r="AH5" s="36"/>
      <c r="AI5" s="36"/>
      <c r="AJ5" s="36"/>
      <c r="AK5" s="2"/>
      <c r="AL5" s="6">
        <v>-0.5</v>
      </c>
      <c r="AM5" s="11">
        <f>(AH6*100)/100</f>
        <v>0</v>
      </c>
      <c r="AN5" s="2"/>
      <c r="AO5" s="6">
        <v>-0.5</v>
      </c>
      <c r="AP5" s="11">
        <f t="shared" si="11"/>
        <v>0</v>
      </c>
    </row>
    <row r="6" spans="1:42">
      <c r="A6" s="1">
        <v>5</v>
      </c>
      <c r="B6" s="12" t="s">
        <v>49</v>
      </c>
      <c r="C6" s="13"/>
      <c r="D6" s="30">
        <v>0.8</v>
      </c>
      <c r="E6" s="13" t="s">
        <v>19</v>
      </c>
      <c r="F6" s="13" t="s">
        <v>20</v>
      </c>
      <c r="G6" s="13" t="s">
        <v>30</v>
      </c>
      <c r="H6" s="5" t="s">
        <v>37</v>
      </c>
      <c r="I6" s="2"/>
      <c r="J6" s="6" t="s">
        <v>31</v>
      </c>
      <c r="K6" s="15">
        <f t="shared" si="10"/>
        <v>6</v>
      </c>
      <c r="L6" s="6">
        <f t="shared" si="0"/>
        <v>3</v>
      </c>
      <c r="M6" s="2"/>
      <c r="N6" s="6" t="s">
        <v>33</v>
      </c>
      <c r="O6" s="6">
        <f>SUM(O2:O5)</f>
        <v>45</v>
      </c>
      <c r="P6" s="6">
        <f>(O6*100)/O6</f>
        <v>100</v>
      </c>
      <c r="Q6" s="2"/>
      <c r="R6" s="6" t="s">
        <v>20</v>
      </c>
      <c r="S6" s="6">
        <f t="shared" si="3"/>
        <v>78</v>
      </c>
      <c r="T6" s="6">
        <f t="shared" si="4"/>
        <v>45.086705202312139</v>
      </c>
      <c r="U6" s="2"/>
      <c r="V6" s="2"/>
      <c r="W6" s="2"/>
      <c r="X6" s="2"/>
      <c r="Y6" s="2"/>
      <c r="Z6" s="6" t="s">
        <v>21</v>
      </c>
      <c r="AA6" s="6">
        <f t="shared" si="7"/>
        <v>16</v>
      </c>
      <c r="AB6" s="6">
        <f t="shared" si="8"/>
        <v>9.2485549132947984</v>
      </c>
      <c r="AC6" s="2"/>
      <c r="AD6" s="2"/>
      <c r="AE6" s="6">
        <f t="shared" si="9"/>
        <v>0.32192809488736229</v>
      </c>
      <c r="AF6" s="2"/>
      <c r="AG6" s="6">
        <v>-1</v>
      </c>
      <c r="AH6" s="37">
        <f>COUNTIFS($AE:$AE,"&gt;=-1",$AE:$AE,"&lt;0")</f>
        <v>0</v>
      </c>
      <c r="AI6" s="35">
        <f>(AG6+AG7)/2</f>
        <v>-0.5</v>
      </c>
      <c r="AJ6" s="37">
        <f>AJ4+AH6</f>
        <v>0</v>
      </c>
      <c r="AK6" s="2"/>
      <c r="AL6" s="6">
        <v>0.5</v>
      </c>
      <c r="AM6" s="11">
        <f>(AH8*100)/150</f>
        <v>3.3333333333333335</v>
      </c>
      <c r="AN6" s="2"/>
      <c r="AO6" s="6">
        <v>0.5</v>
      </c>
      <c r="AP6" s="11">
        <f t="shared" si="11"/>
        <v>3.3333333333333335</v>
      </c>
    </row>
    <row r="7" spans="1:42">
      <c r="A7" s="1">
        <v>6</v>
      </c>
      <c r="B7" s="12" t="s">
        <v>40</v>
      </c>
      <c r="C7" s="13"/>
      <c r="D7" s="30"/>
      <c r="E7" s="13"/>
      <c r="F7" s="13"/>
      <c r="G7" s="13"/>
      <c r="H7" s="5"/>
      <c r="I7" s="2"/>
      <c r="J7" s="6" t="s">
        <v>38</v>
      </c>
      <c r="K7" s="15">
        <f t="shared" si="10"/>
        <v>39</v>
      </c>
      <c r="L7" s="6">
        <f t="shared" si="0"/>
        <v>19.5</v>
      </c>
      <c r="M7" s="2"/>
      <c r="N7" s="2"/>
      <c r="O7" s="2"/>
      <c r="P7" s="2"/>
      <c r="Q7" s="2"/>
      <c r="R7" s="6" t="s">
        <v>39</v>
      </c>
      <c r="S7" s="6">
        <f t="shared" si="3"/>
        <v>29</v>
      </c>
      <c r="T7" s="6">
        <f t="shared" si="4"/>
        <v>16.76300578034682</v>
      </c>
      <c r="U7" s="2"/>
      <c r="V7" s="2"/>
      <c r="W7" s="2"/>
      <c r="X7" s="2"/>
      <c r="Y7" s="2"/>
      <c r="Z7" s="6" t="s">
        <v>33</v>
      </c>
      <c r="AA7" s="6">
        <f>SUM(AA2:AA6)</f>
        <v>173</v>
      </c>
      <c r="AB7" s="6">
        <f t="shared" si="8"/>
        <v>100</v>
      </c>
      <c r="AC7" s="2"/>
      <c r="AD7" s="2"/>
      <c r="AE7" s="6" t="e">
        <f t="shared" si="9"/>
        <v>#NUM!</v>
      </c>
      <c r="AF7" s="2"/>
      <c r="AG7" s="6">
        <v>0</v>
      </c>
      <c r="AH7" s="36"/>
      <c r="AI7" s="36"/>
      <c r="AJ7" s="36"/>
      <c r="AK7" s="2"/>
      <c r="AL7" s="6">
        <v>1.5</v>
      </c>
      <c r="AM7" s="11">
        <f>(AH10*100)/100</f>
        <v>5</v>
      </c>
      <c r="AN7" s="2"/>
      <c r="AO7" s="6">
        <v>1.5</v>
      </c>
      <c r="AP7" s="11">
        <f t="shared" si="11"/>
        <v>8.3333333333333339</v>
      </c>
    </row>
    <row r="8" spans="1:42">
      <c r="A8" s="1">
        <v>7</v>
      </c>
      <c r="B8" s="12" t="s">
        <v>38</v>
      </c>
      <c r="C8" s="13"/>
      <c r="D8" s="30">
        <v>0.5</v>
      </c>
      <c r="E8" s="13" t="s">
        <v>19</v>
      </c>
      <c r="F8" s="13" t="s">
        <v>29</v>
      </c>
      <c r="G8" s="13" t="s">
        <v>30</v>
      </c>
      <c r="H8" s="6" t="s">
        <v>93</v>
      </c>
      <c r="I8" s="2"/>
      <c r="J8" s="14" t="s">
        <v>41</v>
      </c>
      <c r="K8" s="15">
        <f t="shared" si="10"/>
        <v>16</v>
      </c>
      <c r="L8" s="6">
        <f t="shared" si="0"/>
        <v>8</v>
      </c>
      <c r="M8" s="2"/>
      <c r="N8" s="2"/>
      <c r="O8" s="2"/>
      <c r="P8" s="2"/>
      <c r="Q8" s="2"/>
      <c r="R8" s="6" t="s">
        <v>33</v>
      </c>
      <c r="S8" s="6">
        <f>SUM(S2:S7)</f>
        <v>173</v>
      </c>
      <c r="T8" s="6">
        <f t="shared" si="4"/>
        <v>100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6">
        <f>LOG(D8,2)*(-1)</f>
        <v>1</v>
      </c>
      <c r="AF8" s="2"/>
      <c r="AG8" s="6">
        <v>0</v>
      </c>
      <c r="AH8" s="37">
        <f>COUNTIFS($AE:$AE,"&gt;=0",$AE:$AE,"&lt;1")</f>
        <v>5</v>
      </c>
      <c r="AI8" s="35">
        <f>(AG8+AG9)/2</f>
        <v>0.5</v>
      </c>
      <c r="AJ8" s="37">
        <f>AJ6+AH8</f>
        <v>5</v>
      </c>
      <c r="AK8" s="2"/>
      <c r="AL8" s="6">
        <v>2.5</v>
      </c>
      <c r="AM8" s="11">
        <f>(AH12*100)/100</f>
        <v>1</v>
      </c>
      <c r="AN8" s="2"/>
      <c r="AO8" s="6">
        <v>2.5</v>
      </c>
      <c r="AP8" s="11">
        <f t="shared" si="11"/>
        <v>9.3333333333333339</v>
      </c>
    </row>
    <row r="9" spans="1:42">
      <c r="A9" s="1">
        <v>8</v>
      </c>
      <c r="B9" s="12" t="s">
        <v>38</v>
      </c>
      <c r="C9" s="16"/>
      <c r="D9" s="30">
        <v>0.33300000000000002</v>
      </c>
      <c r="E9" s="13" t="s">
        <v>20</v>
      </c>
      <c r="F9" s="13" t="s">
        <v>29</v>
      </c>
      <c r="G9" s="13" t="s">
        <v>23</v>
      </c>
      <c r="H9" s="5" t="s">
        <v>95</v>
      </c>
      <c r="I9" s="2"/>
      <c r="J9" s="14" t="s">
        <v>42</v>
      </c>
      <c r="K9" s="15">
        <f t="shared" si="10"/>
        <v>5</v>
      </c>
      <c r="L9" s="6">
        <f t="shared" si="0"/>
        <v>2.5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6">
        <f t="shared" si="9"/>
        <v>1.5864059175908247</v>
      </c>
      <c r="AF9" s="2"/>
      <c r="AG9" s="6">
        <v>1</v>
      </c>
      <c r="AH9" s="36"/>
      <c r="AI9" s="36"/>
      <c r="AJ9" s="36"/>
      <c r="AK9" s="2"/>
      <c r="AL9" s="6">
        <v>3.5</v>
      </c>
      <c r="AM9" s="11">
        <f>(AH14*100)/150</f>
        <v>2.6666666666666665</v>
      </c>
      <c r="AN9" s="2"/>
      <c r="AO9" s="6">
        <v>3.5</v>
      </c>
      <c r="AP9" s="11">
        <f t="shared" si="11"/>
        <v>12</v>
      </c>
    </row>
    <row r="10" spans="1:42">
      <c r="A10" s="1">
        <v>9</v>
      </c>
      <c r="B10" s="12" t="s">
        <v>18</v>
      </c>
      <c r="C10" s="16"/>
      <c r="D10" s="30">
        <v>0.125</v>
      </c>
      <c r="E10" s="13" t="s">
        <v>20</v>
      </c>
      <c r="F10" s="13" t="s">
        <v>29</v>
      </c>
      <c r="G10" s="13" t="s">
        <v>34</v>
      </c>
      <c r="H10" s="5" t="s">
        <v>94</v>
      </c>
      <c r="I10" s="2"/>
      <c r="J10" s="14" t="s">
        <v>43</v>
      </c>
      <c r="K10" s="15">
        <f t="shared" si="10"/>
        <v>0</v>
      </c>
      <c r="L10" s="6">
        <f t="shared" si="0"/>
        <v>0</v>
      </c>
      <c r="M10" s="2"/>
      <c r="N10" s="1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6">
        <f t="shared" si="9"/>
        <v>3</v>
      </c>
      <c r="AF10" s="2"/>
      <c r="AG10" s="6">
        <v>1</v>
      </c>
      <c r="AH10" s="37">
        <f>COUNTIFS($AE:$AE,"&gt;=1",$AE:$AE,"&lt;=2")</f>
        <v>5</v>
      </c>
      <c r="AI10" s="35">
        <f>(AG10+AG11)/2</f>
        <v>1.5</v>
      </c>
      <c r="AJ10" s="37">
        <f>AJ8+AH10</f>
        <v>10</v>
      </c>
      <c r="AK10" s="2"/>
      <c r="AL10" s="6">
        <v>4.5</v>
      </c>
      <c r="AM10" s="11">
        <f>(AH16*100)/100</f>
        <v>0</v>
      </c>
      <c r="AN10" s="2"/>
      <c r="AO10" s="6">
        <v>4.5</v>
      </c>
      <c r="AP10" s="11">
        <f t="shared" si="11"/>
        <v>12</v>
      </c>
    </row>
    <row r="11" spans="1:42">
      <c r="A11" s="1">
        <v>10</v>
      </c>
      <c r="B11" s="12" t="s">
        <v>49</v>
      </c>
      <c r="C11" s="13"/>
      <c r="D11" s="30">
        <v>0.4</v>
      </c>
      <c r="E11" s="13" t="s">
        <v>19</v>
      </c>
      <c r="F11" s="13" t="s">
        <v>29</v>
      </c>
      <c r="G11" s="13" t="s">
        <v>34</v>
      </c>
      <c r="H11" s="5" t="s">
        <v>96</v>
      </c>
      <c r="I11" s="2"/>
      <c r="J11" s="14" t="s">
        <v>44</v>
      </c>
      <c r="K11" s="15">
        <f t="shared" si="10"/>
        <v>4</v>
      </c>
      <c r="L11" s="6">
        <f t="shared" si="0"/>
        <v>2</v>
      </c>
      <c r="M11" s="2"/>
      <c r="N11" s="1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6">
        <f t="shared" si="9"/>
        <v>1.3219280948873622</v>
      </c>
      <c r="AF11" s="2"/>
      <c r="AG11" s="6">
        <v>2</v>
      </c>
      <c r="AH11" s="36"/>
      <c r="AI11" s="36"/>
      <c r="AJ11" s="36"/>
      <c r="AK11" s="2"/>
      <c r="AL11" s="6">
        <v>5.5</v>
      </c>
      <c r="AM11" s="11">
        <f>(AH18*100)/150</f>
        <v>0</v>
      </c>
      <c r="AN11" s="2"/>
      <c r="AO11" s="6">
        <v>5.5</v>
      </c>
      <c r="AP11" s="11">
        <f t="shared" si="11"/>
        <v>12</v>
      </c>
    </row>
    <row r="12" spans="1:42">
      <c r="A12" s="1">
        <v>11</v>
      </c>
      <c r="B12" s="12" t="s">
        <v>49</v>
      </c>
      <c r="C12" s="13"/>
      <c r="D12" s="30">
        <v>1</v>
      </c>
      <c r="E12" s="13" t="s">
        <v>36</v>
      </c>
      <c r="F12" s="13" t="s">
        <v>20</v>
      </c>
      <c r="G12" s="13" t="s">
        <v>97</v>
      </c>
      <c r="H12" s="6" t="s">
        <v>98</v>
      </c>
      <c r="I12" s="2"/>
      <c r="J12" s="6" t="s">
        <v>45</v>
      </c>
      <c r="K12" s="15">
        <f t="shared" si="10"/>
        <v>3</v>
      </c>
      <c r="L12" s="6">
        <f t="shared" si="0"/>
        <v>1.5</v>
      </c>
      <c r="M12" s="2"/>
      <c r="N12" s="17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6">
        <f t="shared" si="9"/>
        <v>0</v>
      </c>
      <c r="AF12" s="2"/>
      <c r="AG12" s="6">
        <v>2</v>
      </c>
      <c r="AH12" s="37">
        <f>COUNTIFS($AE:$AE,"&gt;=2",$AE:$AE,"&lt;3")</f>
        <v>1</v>
      </c>
      <c r="AI12" s="35">
        <f>(AG12+AG13)/2</f>
        <v>2.5</v>
      </c>
      <c r="AJ12" s="37">
        <f>AJ10+AH12</f>
        <v>11</v>
      </c>
      <c r="AK12" s="2"/>
      <c r="AL12" s="6">
        <v>6.5</v>
      </c>
      <c r="AM12" s="11">
        <f>(AH20*100)/100</f>
        <v>0</v>
      </c>
      <c r="AN12" s="2"/>
      <c r="AO12" s="6">
        <v>6.5</v>
      </c>
      <c r="AP12" s="11">
        <f t="shared" si="11"/>
        <v>12</v>
      </c>
    </row>
    <row r="13" spans="1:42">
      <c r="A13" s="1">
        <v>12</v>
      </c>
      <c r="B13" s="12" t="s">
        <v>18</v>
      </c>
      <c r="C13" s="13"/>
      <c r="D13" s="30">
        <v>0.5</v>
      </c>
      <c r="E13" s="13" t="s">
        <v>36</v>
      </c>
      <c r="F13" s="13" t="s">
        <v>29</v>
      </c>
      <c r="G13" s="13" t="s">
        <v>30</v>
      </c>
      <c r="H13" s="5" t="s">
        <v>99</v>
      </c>
      <c r="I13" s="2"/>
      <c r="J13" s="6" t="s">
        <v>46</v>
      </c>
      <c r="K13" s="15">
        <f t="shared" si="10"/>
        <v>0</v>
      </c>
      <c r="L13" s="6">
        <f t="shared" si="0"/>
        <v>0</v>
      </c>
      <c r="M13" s="2" t="s">
        <v>231</v>
      </c>
      <c r="N13" s="1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6">
        <f t="shared" si="9"/>
        <v>1</v>
      </c>
      <c r="AF13" s="2"/>
      <c r="AG13" s="6">
        <v>3</v>
      </c>
      <c r="AH13" s="36"/>
      <c r="AI13" s="36"/>
      <c r="AJ13" s="36"/>
      <c r="AK13" s="2"/>
      <c r="AL13" s="2"/>
      <c r="AM13" s="2"/>
      <c r="AN13" s="2"/>
      <c r="AO13" s="2"/>
      <c r="AP13" s="2"/>
    </row>
    <row r="14" spans="1:42">
      <c r="A14" s="1">
        <v>13</v>
      </c>
      <c r="B14" s="22" t="s">
        <v>51</v>
      </c>
      <c r="C14" s="16"/>
      <c r="D14" s="30"/>
      <c r="E14" s="16" t="s">
        <v>36</v>
      </c>
      <c r="F14" s="16" t="s">
        <v>20</v>
      </c>
      <c r="G14" s="16" t="s">
        <v>30</v>
      </c>
      <c r="H14" s="6" t="s">
        <v>117</v>
      </c>
      <c r="I14" s="2"/>
      <c r="J14" s="6" t="s">
        <v>47</v>
      </c>
      <c r="K14" s="15">
        <f t="shared" si="10"/>
        <v>0</v>
      </c>
      <c r="L14" s="6">
        <f t="shared" si="0"/>
        <v>0</v>
      </c>
      <c r="M14" s="2"/>
      <c r="N14" s="17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6" t="e">
        <f t="shared" si="9"/>
        <v>#NUM!</v>
      </c>
      <c r="AF14" s="2"/>
      <c r="AG14" s="6">
        <v>3</v>
      </c>
      <c r="AH14" s="37">
        <f>COUNTIFS($AE:$AE,"&gt;=3",$AE:$AE,"&lt;4")</f>
        <v>4</v>
      </c>
      <c r="AI14" s="35">
        <f>(AG14+AG15)/2</f>
        <v>3.5</v>
      </c>
      <c r="AJ14" s="37">
        <f>AJ12+AH14</f>
        <v>15</v>
      </c>
      <c r="AK14" s="2"/>
      <c r="AL14" s="2"/>
      <c r="AM14" s="2"/>
      <c r="AN14" s="2"/>
      <c r="AO14" s="2"/>
      <c r="AP14" s="18"/>
    </row>
    <row r="15" spans="1:42">
      <c r="A15" s="1">
        <v>14</v>
      </c>
      <c r="B15" s="12" t="s">
        <v>40</v>
      </c>
      <c r="C15" s="13"/>
      <c r="D15" s="30"/>
      <c r="E15" s="13"/>
      <c r="F15" s="13"/>
      <c r="G15" s="13"/>
      <c r="H15" s="5"/>
      <c r="I15" s="2"/>
      <c r="J15" s="6" t="s">
        <v>48</v>
      </c>
      <c r="K15" s="15">
        <f t="shared" si="10"/>
        <v>3</v>
      </c>
      <c r="L15" s="6">
        <f t="shared" si="0"/>
        <v>1.5</v>
      </c>
      <c r="M15" s="2"/>
      <c r="N15" s="17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6" t="e">
        <f t="shared" si="9"/>
        <v>#NUM!</v>
      </c>
      <c r="AF15" s="2"/>
      <c r="AG15" s="6">
        <v>4</v>
      </c>
      <c r="AH15" s="36"/>
      <c r="AI15" s="36"/>
      <c r="AJ15" s="36"/>
      <c r="AK15" s="2"/>
      <c r="AL15" s="2"/>
      <c r="AM15" s="2"/>
      <c r="AN15" s="2"/>
      <c r="AO15" s="2"/>
      <c r="AP15" s="2"/>
    </row>
    <row r="16" spans="1:42">
      <c r="A16" s="1">
        <v>15</v>
      </c>
      <c r="B16" s="22" t="s">
        <v>18</v>
      </c>
      <c r="C16" s="16"/>
      <c r="D16" s="30">
        <v>0.125</v>
      </c>
      <c r="E16" s="16" t="s">
        <v>36</v>
      </c>
      <c r="F16" s="16" t="s">
        <v>29</v>
      </c>
      <c r="G16" s="16" t="s">
        <v>30</v>
      </c>
      <c r="H16" s="6" t="s">
        <v>167</v>
      </c>
      <c r="I16" s="2"/>
      <c r="J16" s="6" t="s">
        <v>49</v>
      </c>
      <c r="K16" s="15">
        <f t="shared" si="10"/>
        <v>36</v>
      </c>
      <c r="L16" s="6">
        <f t="shared" si="0"/>
        <v>18</v>
      </c>
      <c r="M16" s="2"/>
      <c r="N16" s="17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6">
        <f t="shared" si="9"/>
        <v>3</v>
      </c>
      <c r="AF16" s="2"/>
      <c r="AG16" s="6">
        <v>4</v>
      </c>
      <c r="AH16" s="37">
        <f>COUNTIFS($AE:$AE,"&gt;=4",$AE:$AE,"&lt;5")</f>
        <v>0</v>
      </c>
      <c r="AI16" s="35">
        <f>(AG16+AG17)/2</f>
        <v>4.5</v>
      </c>
      <c r="AJ16" s="37">
        <f>AJ14+AH16</f>
        <v>15</v>
      </c>
      <c r="AK16" s="2"/>
      <c r="AL16" s="2"/>
      <c r="AM16" s="2"/>
      <c r="AN16" s="2"/>
      <c r="AO16" s="2"/>
      <c r="AP16" s="2"/>
    </row>
    <row r="17" spans="1:42">
      <c r="A17" s="1">
        <v>16</v>
      </c>
      <c r="B17" s="12" t="s">
        <v>40</v>
      </c>
      <c r="C17" s="16"/>
      <c r="D17" s="30"/>
      <c r="E17" s="13"/>
      <c r="F17" s="13"/>
      <c r="G17" s="13"/>
      <c r="H17" s="6"/>
      <c r="I17" s="2"/>
      <c r="J17" s="6" t="s">
        <v>50</v>
      </c>
      <c r="K17" s="15">
        <f t="shared" si="10"/>
        <v>0</v>
      </c>
      <c r="L17" s="6">
        <f t="shared" si="0"/>
        <v>0</v>
      </c>
      <c r="M17" s="2"/>
      <c r="N17" s="17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6" t="e">
        <f t="shared" si="9"/>
        <v>#NUM!</v>
      </c>
      <c r="AF17" s="2"/>
      <c r="AG17" s="6">
        <v>5</v>
      </c>
      <c r="AH17" s="36"/>
      <c r="AI17" s="36"/>
      <c r="AJ17" s="36"/>
      <c r="AK17" s="2"/>
      <c r="AL17" s="2"/>
      <c r="AM17" s="2"/>
      <c r="AN17" s="2"/>
      <c r="AO17" s="2"/>
      <c r="AP17" s="2"/>
    </row>
    <row r="18" spans="1:42">
      <c r="A18" s="1">
        <v>17</v>
      </c>
      <c r="B18" s="12" t="s">
        <v>49</v>
      </c>
      <c r="C18" s="13"/>
      <c r="D18" s="30">
        <v>1</v>
      </c>
      <c r="E18" s="13" t="s">
        <v>36</v>
      </c>
      <c r="F18" s="13" t="s">
        <v>29</v>
      </c>
      <c r="G18" s="13" t="s">
        <v>30</v>
      </c>
      <c r="H18" s="6" t="s">
        <v>100</v>
      </c>
      <c r="I18" s="2"/>
      <c r="J18" s="6" t="s">
        <v>51</v>
      </c>
      <c r="K18" s="15">
        <f t="shared" si="10"/>
        <v>19</v>
      </c>
      <c r="L18" s="6">
        <f t="shared" si="0"/>
        <v>9.5</v>
      </c>
      <c r="M18" s="2"/>
      <c r="N18" s="1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6">
        <f t="shared" si="9"/>
        <v>0</v>
      </c>
      <c r="AF18" s="2"/>
      <c r="AG18" s="6">
        <v>5</v>
      </c>
      <c r="AH18" s="37">
        <f>COUNTIFS($AE:$AE,"&gt;=5",$AE:$AE,"&lt;6")</f>
        <v>0</v>
      </c>
      <c r="AI18" s="35">
        <f>(AG18+AG19)/2</f>
        <v>5.5</v>
      </c>
      <c r="AJ18" s="37">
        <f>AJ16+AH18</f>
        <v>15</v>
      </c>
      <c r="AK18" s="2"/>
      <c r="AL18" s="2"/>
      <c r="AM18" s="2"/>
      <c r="AN18" s="2"/>
      <c r="AO18" s="2"/>
      <c r="AP18" s="2"/>
    </row>
    <row r="19" spans="1:42">
      <c r="A19" s="1">
        <v>18</v>
      </c>
      <c r="B19" s="12" t="s">
        <v>38</v>
      </c>
      <c r="C19" s="16"/>
      <c r="D19" s="30">
        <v>0.125</v>
      </c>
      <c r="E19" s="13" t="s">
        <v>19</v>
      </c>
      <c r="F19" s="13" t="s">
        <v>20</v>
      </c>
      <c r="G19" s="13" t="s">
        <v>30</v>
      </c>
      <c r="H19" s="5" t="s">
        <v>101</v>
      </c>
      <c r="I19" s="2"/>
      <c r="J19" s="6" t="s">
        <v>52</v>
      </c>
      <c r="K19" s="15">
        <f t="shared" si="10"/>
        <v>0</v>
      </c>
      <c r="L19" s="6">
        <f t="shared" si="0"/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6">
        <f t="shared" si="9"/>
        <v>3</v>
      </c>
      <c r="AF19" s="2"/>
      <c r="AG19" s="6">
        <v>6</v>
      </c>
      <c r="AH19" s="36"/>
      <c r="AI19" s="36"/>
      <c r="AJ19" s="36"/>
      <c r="AK19" s="2"/>
      <c r="AL19" s="2"/>
      <c r="AM19" s="2"/>
      <c r="AN19" s="2"/>
      <c r="AO19" s="2"/>
      <c r="AP19" s="2"/>
    </row>
    <row r="20" spans="1:42">
      <c r="A20" s="1">
        <v>19</v>
      </c>
      <c r="B20" s="22" t="s">
        <v>38</v>
      </c>
      <c r="C20" s="16"/>
      <c r="D20" s="30">
        <v>0.125</v>
      </c>
      <c r="E20" s="16" t="s">
        <v>20</v>
      </c>
      <c r="F20" s="16" t="s">
        <v>29</v>
      </c>
      <c r="G20" s="16" t="s">
        <v>27</v>
      </c>
      <c r="H20" s="6" t="s">
        <v>101</v>
      </c>
      <c r="I20" s="2"/>
      <c r="J20" s="6" t="s">
        <v>53</v>
      </c>
      <c r="K20" s="15">
        <f t="shared" si="10"/>
        <v>23</v>
      </c>
      <c r="L20" s="6">
        <f t="shared" si="0"/>
        <v>11.5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6">
        <f t="shared" si="9"/>
        <v>3</v>
      </c>
      <c r="AF20" s="2"/>
      <c r="AG20" s="6">
        <v>6</v>
      </c>
      <c r="AH20" s="37">
        <f>COUNTIFS($AE:$AE,"&gt;=6",$AE:$AE,"&lt;7")</f>
        <v>0</v>
      </c>
      <c r="AI20" s="35">
        <f>(AG20+AG21)/2</f>
        <v>6.5</v>
      </c>
      <c r="AJ20" s="37">
        <f>AJ18+AH20</f>
        <v>15</v>
      </c>
      <c r="AK20" s="2"/>
      <c r="AL20" s="2"/>
      <c r="AM20" s="2"/>
      <c r="AN20" s="2"/>
      <c r="AO20" s="2"/>
      <c r="AP20" s="2"/>
    </row>
    <row r="21" spans="1:42" ht="15.75" customHeight="1">
      <c r="A21" s="1">
        <v>20</v>
      </c>
      <c r="B21" s="12" t="s">
        <v>49</v>
      </c>
      <c r="C21" s="13"/>
      <c r="D21" s="30">
        <v>0.5</v>
      </c>
      <c r="E21" s="13" t="s">
        <v>36</v>
      </c>
      <c r="F21" s="13" t="s">
        <v>20</v>
      </c>
      <c r="G21" s="13" t="s">
        <v>21</v>
      </c>
      <c r="H21" s="6" t="s">
        <v>102</v>
      </c>
      <c r="I21" s="2"/>
      <c r="J21" s="6" t="s">
        <v>54</v>
      </c>
      <c r="K21" s="15">
        <f t="shared" si="10"/>
        <v>1</v>
      </c>
      <c r="L21" s="6">
        <f t="shared" si="0"/>
        <v>0.5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6">
        <f t="shared" si="9"/>
        <v>1</v>
      </c>
      <c r="AF21" s="2"/>
      <c r="AG21" s="6">
        <v>7</v>
      </c>
      <c r="AH21" s="36"/>
      <c r="AI21" s="36"/>
      <c r="AJ21" s="36"/>
      <c r="AK21" s="2"/>
      <c r="AL21" s="2"/>
      <c r="AM21" s="2"/>
      <c r="AN21" s="2"/>
      <c r="AO21" s="2"/>
      <c r="AP21" s="2"/>
    </row>
    <row r="22" spans="1:42" ht="15.75" customHeight="1">
      <c r="A22" s="1">
        <v>21</v>
      </c>
      <c r="B22" s="12" t="s">
        <v>49</v>
      </c>
      <c r="C22" s="13"/>
      <c r="D22" s="30"/>
      <c r="E22" s="13" t="s">
        <v>19</v>
      </c>
      <c r="F22" s="13" t="s">
        <v>29</v>
      </c>
      <c r="G22" s="13" t="s">
        <v>30</v>
      </c>
      <c r="H22" s="6" t="s">
        <v>103</v>
      </c>
      <c r="I22" s="2"/>
      <c r="J22" s="2" t="s">
        <v>55</v>
      </c>
      <c r="K22" s="15">
        <f t="shared" si="10"/>
        <v>0</v>
      </c>
      <c r="L22" s="6">
        <f t="shared" si="0"/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6" t="e">
        <f t="shared" si="9"/>
        <v>#NUM!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ht="15.75" customHeight="1">
      <c r="A23" s="1">
        <v>22</v>
      </c>
      <c r="B23" s="12" t="s">
        <v>49</v>
      </c>
      <c r="C23" s="16"/>
      <c r="D23" s="30"/>
      <c r="E23" s="13" t="s">
        <v>20</v>
      </c>
      <c r="F23" s="13" t="s">
        <v>20</v>
      </c>
      <c r="G23" s="13" t="s">
        <v>30</v>
      </c>
      <c r="H23" s="5" t="s">
        <v>104</v>
      </c>
      <c r="I23" s="2"/>
      <c r="J23" s="6"/>
      <c r="K23" s="6">
        <f t="shared" si="10"/>
        <v>0</v>
      </c>
      <c r="L23" s="6">
        <f t="shared" si="0"/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6" t="e">
        <f t="shared" si="9"/>
        <v>#NUM!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ht="15.75" customHeight="1">
      <c r="A24" s="1">
        <v>23</v>
      </c>
      <c r="B24" s="12" t="s">
        <v>40</v>
      </c>
      <c r="C24" s="16"/>
      <c r="D24" s="30"/>
      <c r="E24" s="13"/>
      <c r="F24" s="13"/>
      <c r="G24" s="13"/>
      <c r="H24" s="5"/>
      <c r="I24" s="2"/>
      <c r="J24" s="6"/>
      <c r="K24" s="6">
        <f t="shared" si="10"/>
        <v>0</v>
      </c>
      <c r="L24" s="6">
        <f t="shared" si="0"/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6" t="e">
        <f t="shared" si="9"/>
        <v>#NUM!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ht="15.75" customHeight="1">
      <c r="A25" s="1">
        <v>24</v>
      </c>
      <c r="B25" s="12" t="s">
        <v>49</v>
      </c>
      <c r="C25" s="16"/>
      <c r="D25" s="30"/>
      <c r="E25" s="13" t="s">
        <v>105</v>
      </c>
      <c r="F25" s="13" t="s">
        <v>29</v>
      </c>
      <c r="G25" s="13" t="s">
        <v>27</v>
      </c>
      <c r="H25" s="5" t="s">
        <v>106</v>
      </c>
      <c r="I25" s="2"/>
      <c r="J25" s="6"/>
      <c r="K25" s="6">
        <f t="shared" si="10"/>
        <v>0</v>
      </c>
      <c r="L25" s="6">
        <f t="shared" si="0"/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6" t="e">
        <f t="shared" si="9"/>
        <v>#NUM!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ht="15.75" customHeight="1">
      <c r="A26" s="1">
        <v>25</v>
      </c>
      <c r="B26" s="6" t="s">
        <v>51</v>
      </c>
      <c r="C26" s="6"/>
      <c r="D26" s="11"/>
      <c r="E26" s="6" t="s">
        <v>39</v>
      </c>
      <c r="F26" s="6" t="s">
        <v>29</v>
      </c>
      <c r="G26" s="6" t="s">
        <v>30</v>
      </c>
      <c r="H26" s="6" t="s">
        <v>211</v>
      </c>
      <c r="I26" s="2"/>
      <c r="J26" s="6"/>
      <c r="K26" s="6">
        <f t="shared" si="10"/>
        <v>0</v>
      </c>
      <c r="L26" s="6">
        <f t="shared" si="0"/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6" t="e">
        <f t="shared" si="9"/>
        <v>#NUM!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ht="15.75" customHeight="1">
      <c r="A27" s="1">
        <v>26</v>
      </c>
      <c r="B27" s="12" t="s">
        <v>41</v>
      </c>
      <c r="C27" s="13"/>
      <c r="D27" s="30"/>
      <c r="E27" s="13" t="s">
        <v>39</v>
      </c>
      <c r="F27" s="13" t="s">
        <v>29</v>
      </c>
      <c r="G27" s="13" t="s">
        <v>27</v>
      </c>
      <c r="H27" s="5" t="s">
        <v>108</v>
      </c>
      <c r="I27" s="2"/>
      <c r="J27" s="6"/>
      <c r="K27" s="6">
        <f t="shared" si="10"/>
        <v>0</v>
      </c>
      <c r="L27" s="6">
        <f t="shared" si="0"/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6" t="e">
        <f t="shared" si="9"/>
        <v>#NUM!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ht="15.75" customHeight="1">
      <c r="A28" s="1">
        <v>27</v>
      </c>
      <c r="B28" s="12" t="s">
        <v>18</v>
      </c>
      <c r="C28" s="13"/>
      <c r="D28" s="30"/>
      <c r="E28" s="13" t="s">
        <v>39</v>
      </c>
      <c r="F28" s="13" t="s">
        <v>20</v>
      </c>
      <c r="G28" s="13" t="s">
        <v>34</v>
      </c>
      <c r="H28" s="6" t="s">
        <v>109</v>
      </c>
      <c r="I28" s="2"/>
      <c r="J28" s="6"/>
      <c r="K28" s="6">
        <f t="shared" si="10"/>
        <v>0</v>
      </c>
      <c r="L28" s="6">
        <f t="shared" si="0"/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6" t="e">
        <f t="shared" si="9"/>
        <v>#NUM!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ht="15.75" customHeight="1">
      <c r="A29" s="1">
        <v>28</v>
      </c>
      <c r="B29" s="12" t="s">
        <v>32</v>
      </c>
      <c r="C29" s="13"/>
      <c r="D29" s="30"/>
      <c r="E29" s="13" t="s">
        <v>20</v>
      </c>
      <c r="F29" s="13" t="s">
        <v>29</v>
      </c>
      <c r="G29" s="13" t="s">
        <v>30</v>
      </c>
      <c r="H29" s="6" t="s">
        <v>110</v>
      </c>
      <c r="I29" s="2"/>
      <c r="J29" s="6"/>
      <c r="K29" s="6">
        <f t="shared" si="10"/>
        <v>0</v>
      </c>
      <c r="L29" s="6">
        <f t="shared" si="0"/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6" t="e">
        <f t="shared" si="9"/>
        <v>#NUM!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15.75" customHeight="1">
      <c r="A30" s="1">
        <v>29</v>
      </c>
      <c r="B30" s="12" t="s">
        <v>40</v>
      </c>
      <c r="C30" s="13"/>
      <c r="D30" s="30"/>
      <c r="E30" s="13"/>
      <c r="F30" s="13"/>
      <c r="G30" s="13"/>
      <c r="H30" s="6"/>
      <c r="I30" s="2"/>
      <c r="J30" s="6"/>
      <c r="K30" s="6">
        <f t="shared" si="10"/>
        <v>0</v>
      </c>
      <c r="L30" s="6">
        <f t="shared" si="0"/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6" t="e">
        <f t="shared" si="9"/>
        <v>#NUM!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ht="15.75" customHeight="1">
      <c r="A31" s="1">
        <v>30</v>
      </c>
      <c r="B31" s="12" t="s">
        <v>40</v>
      </c>
      <c r="C31" s="13"/>
      <c r="D31" s="31"/>
      <c r="E31" s="19"/>
      <c r="F31" s="19"/>
      <c r="G31" s="19"/>
      <c r="H31" s="5"/>
      <c r="I31" s="2"/>
      <c r="J31" s="6"/>
      <c r="K31" s="6">
        <f t="shared" si="10"/>
        <v>0</v>
      </c>
      <c r="L31" s="6">
        <f t="shared" si="0"/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6" t="e">
        <f t="shared" si="9"/>
        <v>#NUM!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ht="15.75" customHeight="1">
      <c r="A32" s="1">
        <v>31</v>
      </c>
      <c r="B32" s="12" t="s">
        <v>38</v>
      </c>
      <c r="C32" s="16"/>
      <c r="D32" s="29"/>
      <c r="E32" s="20" t="s">
        <v>39</v>
      </c>
      <c r="F32" s="20" t="s">
        <v>29</v>
      </c>
      <c r="G32" s="20" t="s">
        <v>21</v>
      </c>
      <c r="H32" s="5" t="s">
        <v>111</v>
      </c>
      <c r="I32" s="2"/>
      <c r="J32" s="6"/>
      <c r="K32" s="6">
        <f t="shared" si="10"/>
        <v>0</v>
      </c>
      <c r="L32" s="6">
        <f t="shared" si="0"/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6" t="e">
        <f t="shared" si="9"/>
        <v>#NUM!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ht="15.75" customHeight="1">
      <c r="A33" s="1">
        <v>32</v>
      </c>
      <c r="B33" s="12" t="s">
        <v>49</v>
      </c>
      <c r="C33" s="13"/>
      <c r="D33" s="30"/>
      <c r="E33" s="13" t="s">
        <v>36</v>
      </c>
      <c r="F33" s="13" t="s">
        <v>29</v>
      </c>
      <c r="G33" s="13" t="s">
        <v>27</v>
      </c>
      <c r="H33" s="5" t="s">
        <v>112</v>
      </c>
      <c r="I33" s="2"/>
      <c r="J33" s="6"/>
      <c r="K33" s="6">
        <f t="shared" si="10"/>
        <v>0</v>
      </c>
      <c r="L33" s="6">
        <f t="shared" si="0"/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6" t="e">
        <f t="shared" si="9"/>
        <v>#NUM!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ht="15.75" customHeight="1">
      <c r="A34" s="1">
        <v>33</v>
      </c>
      <c r="B34" s="12" t="s">
        <v>41</v>
      </c>
      <c r="C34" s="13"/>
      <c r="D34" s="30"/>
      <c r="E34" s="13" t="s">
        <v>20</v>
      </c>
      <c r="F34" s="13" t="s">
        <v>29</v>
      </c>
      <c r="G34" s="13" t="s">
        <v>21</v>
      </c>
      <c r="H34" s="6" t="s">
        <v>113</v>
      </c>
      <c r="I34" s="2"/>
      <c r="J34" s="6"/>
      <c r="K34" s="6">
        <f t="shared" si="10"/>
        <v>0</v>
      </c>
      <c r="L34" s="6">
        <f t="shared" si="0"/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6" t="e">
        <f t="shared" si="9"/>
        <v>#NUM!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ht="15.75" customHeight="1">
      <c r="A35" s="1">
        <v>34</v>
      </c>
      <c r="B35" s="22" t="s">
        <v>49</v>
      </c>
      <c r="C35" s="16"/>
      <c r="D35" s="30"/>
      <c r="E35" s="16" t="s">
        <v>107</v>
      </c>
      <c r="F35" s="16" t="s">
        <v>29</v>
      </c>
      <c r="G35" s="16" t="s">
        <v>27</v>
      </c>
      <c r="H35" s="6" t="s">
        <v>106</v>
      </c>
      <c r="I35" s="2"/>
      <c r="J35" s="6"/>
      <c r="K35" s="6">
        <f t="shared" si="10"/>
        <v>0</v>
      </c>
      <c r="L35" s="6">
        <f t="shared" si="0"/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6" t="e">
        <f t="shared" si="9"/>
        <v>#NUM!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ht="15.75" customHeight="1">
      <c r="A36" s="1">
        <v>35</v>
      </c>
      <c r="B36" s="12" t="s">
        <v>38</v>
      </c>
      <c r="C36" s="13"/>
      <c r="D36" s="30"/>
      <c r="E36" s="13" t="s">
        <v>20</v>
      </c>
      <c r="F36" s="13" t="s">
        <v>29</v>
      </c>
      <c r="G36" s="13" t="s">
        <v>30</v>
      </c>
      <c r="H36" s="6" t="s">
        <v>114</v>
      </c>
      <c r="I36" s="2"/>
      <c r="J36" s="21"/>
      <c r="K36" s="6">
        <f t="shared" si="10"/>
        <v>0</v>
      </c>
      <c r="L36" s="6">
        <f t="shared" si="0"/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6" t="e">
        <f t="shared" si="9"/>
        <v>#NUM!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ht="15.75" customHeight="1">
      <c r="A37" s="1">
        <v>36</v>
      </c>
      <c r="B37" s="12" t="s">
        <v>38</v>
      </c>
      <c r="C37" s="16"/>
      <c r="D37" s="30"/>
      <c r="E37" s="13" t="s">
        <v>19</v>
      </c>
      <c r="F37" s="13" t="s">
        <v>29</v>
      </c>
      <c r="G37" s="13" t="s">
        <v>30</v>
      </c>
      <c r="H37" s="6" t="s">
        <v>115</v>
      </c>
      <c r="I37" s="2"/>
      <c r="J37" s="21"/>
      <c r="K37" s="6">
        <f t="shared" si="10"/>
        <v>0</v>
      </c>
      <c r="L37" s="6">
        <f t="shared" si="0"/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6" t="e">
        <f t="shared" si="9"/>
        <v>#NUM!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ht="15.75" customHeight="1">
      <c r="A38" s="1">
        <v>37</v>
      </c>
      <c r="B38" s="12" t="s">
        <v>38</v>
      </c>
      <c r="C38" s="16"/>
      <c r="D38" s="30"/>
      <c r="E38" s="13" t="s">
        <v>20</v>
      </c>
      <c r="F38" s="13" t="s">
        <v>20</v>
      </c>
      <c r="G38" s="13" t="s">
        <v>27</v>
      </c>
      <c r="H38" s="6" t="s">
        <v>116</v>
      </c>
      <c r="I38" s="2"/>
      <c r="J38" s="21"/>
      <c r="K38" s="6">
        <f t="shared" si="10"/>
        <v>0</v>
      </c>
      <c r="L38" s="6">
        <f t="shared" si="0"/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6" t="e">
        <f t="shared" si="9"/>
        <v>#NUM!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ht="15.75" customHeight="1">
      <c r="A39" s="1">
        <v>38</v>
      </c>
      <c r="B39" s="12" t="s">
        <v>51</v>
      </c>
      <c r="C39" s="16"/>
      <c r="D39" s="30"/>
      <c r="E39" s="13" t="s">
        <v>36</v>
      </c>
      <c r="F39" s="13" t="s">
        <v>20</v>
      </c>
      <c r="G39" s="13" t="s">
        <v>30</v>
      </c>
      <c r="H39" s="6" t="s">
        <v>117</v>
      </c>
      <c r="I39" s="2"/>
      <c r="J39" s="21"/>
      <c r="K39" s="6">
        <f t="shared" si="10"/>
        <v>0</v>
      </c>
      <c r="L39" s="6">
        <f t="shared" si="0"/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6" t="e">
        <f t="shared" si="9"/>
        <v>#NUM!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ht="15.75" customHeight="1">
      <c r="A40" s="1">
        <v>39</v>
      </c>
      <c r="B40" s="22" t="s">
        <v>49</v>
      </c>
      <c r="C40" s="16"/>
      <c r="D40" s="30"/>
      <c r="E40" s="16" t="s">
        <v>36</v>
      </c>
      <c r="F40" s="16" t="s">
        <v>29</v>
      </c>
      <c r="G40" s="16" t="s">
        <v>30</v>
      </c>
      <c r="H40" s="6" t="s">
        <v>118</v>
      </c>
      <c r="I40" s="2"/>
      <c r="J40" s="21"/>
      <c r="K40" s="6">
        <f t="shared" si="10"/>
        <v>0</v>
      </c>
      <c r="L40" s="6">
        <f t="shared" si="0"/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6" t="e">
        <f t="shared" si="9"/>
        <v>#NUM!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ht="15.75" customHeight="1">
      <c r="A41" s="1">
        <v>40</v>
      </c>
      <c r="B41" s="12" t="s">
        <v>48</v>
      </c>
      <c r="C41" s="13"/>
      <c r="D41" s="30"/>
      <c r="E41" s="13" t="s">
        <v>36</v>
      </c>
      <c r="F41" s="13" t="s">
        <v>29</v>
      </c>
      <c r="G41" s="13" t="s">
        <v>27</v>
      </c>
      <c r="H41" s="6" t="s">
        <v>119</v>
      </c>
      <c r="I41" s="2"/>
      <c r="J41" s="21"/>
      <c r="K41" s="6">
        <f t="shared" si="10"/>
        <v>0</v>
      </c>
      <c r="L41" s="6">
        <f t="shared" si="0"/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6" t="e">
        <f t="shared" si="9"/>
        <v>#NUM!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ht="15.75" customHeight="1">
      <c r="A42" s="1">
        <v>41</v>
      </c>
      <c r="B42" s="12" t="s">
        <v>38</v>
      </c>
      <c r="C42" s="13"/>
      <c r="D42" s="30"/>
      <c r="E42" s="13" t="s">
        <v>39</v>
      </c>
      <c r="F42" s="13" t="s">
        <v>29</v>
      </c>
      <c r="G42" s="13" t="s">
        <v>30</v>
      </c>
      <c r="H42" s="6" t="s">
        <v>120</v>
      </c>
      <c r="I42" s="2"/>
      <c r="J42" s="21"/>
      <c r="K42" s="6">
        <f t="shared" si="10"/>
        <v>0</v>
      </c>
      <c r="L42" s="6">
        <f t="shared" si="0"/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6" t="e">
        <f t="shared" si="9"/>
        <v>#NUM!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15.75" customHeight="1">
      <c r="A43" s="1">
        <v>42</v>
      </c>
      <c r="B43" s="12" t="s">
        <v>18</v>
      </c>
      <c r="C43" s="13"/>
      <c r="D43" s="30"/>
      <c r="E43" s="13" t="s">
        <v>20</v>
      </c>
      <c r="F43" s="13" t="s">
        <v>29</v>
      </c>
      <c r="G43" s="13" t="s">
        <v>30</v>
      </c>
      <c r="H43" s="6" t="s">
        <v>121</v>
      </c>
      <c r="I43" s="2"/>
      <c r="J43" s="21"/>
      <c r="K43" s="6">
        <f t="shared" si="10"/>
        <v>0</v>
      </c>
      <c r="L43" s="6">
        <f t="shared" si="0"/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6" t="e">
        <f t="shared" si="9"/>
        <v>#NUM!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ht="15.75" customHeight="1">
      <c r="A44" s="1">
        <v>43</v>
      </c>
      <c r="B44" s="12" t="s">
        <v>38</v>
      </c>
      <c r="C44" s="13"/>
      <c r="D44" s="30"/>
      <c r="E44" s="13" t="s">
        <v>22</v>
      </c>
      <c r="F44" s="13" t="s">
        <v>20</v>
      </c>
      <c r="G44" s="13" t="s">
        <v>30</v>
      </c>
      <c r="H44" s="6" t="s">
        <v>122</v>
      </c>
      <c r="I44" s="2"/>
      <c r="J44" s="21"/>
      <c r="K44" s="6">
        <f t="shared" si="10"/>
        <v>0</v>
      </c>
      <c r="L44" s="6">
        <f t="shared" si="0"/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6" t="e">
        <f t="shared" si="9"/>
        <v>#NUM!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ht="15.75" customHeight="1">
      <c r="A45" s="1">
        <v>44</v>
      </c>
      <c r="B45" s="12" t="s">
        <v>42</v>
      </c>
      <c r="C45" s="13"/>
      <c r="D45" s="30"/>
      <c r="E45" s="13" t="s">
        <v>20</v>
      </c>
      <c r="F45" s="13" t="s">
        <v>20</v>
      </c>
      <c r="G45" s="13" t="s">
        <v>27</v>
      </c>
      <c r="H45" s="6" t="s">
        <v>123</v>
      </c>
      <c r="I45" s="2"/>
      <c r="J45" s="21"/>
      <c r="K45" s="6">
        <f t="shared" si="10"/>
        <v>0</v>
      </c>
      <c r="L45" s="6">
        <f t="shared" si="0"/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6" t="e">
        <f t="shared" si="9"/>
        <v>#NUM!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ht="15.75" customHeight="1">
      <c r="A46" s="1">
        <v>45</v>
      </c>
      <c r="B46" s="12" t="s">
        <v>51</v>
      </c>
      <c r="C46" s="16"/>
      <c r="D46" s="30"/>
      <c r="E46" s="13" t="s">
        <v>19</v>
      </c>
      <c r="F46" s="13" t="s">
        <v>29</v>
      </c>
      <c r="G46" s="13" t="s">
        <v>30</v>
      </c>
      <c r="H46" s="6" t="s">
        <v>124</v>
      </c>
      <c r="I46" s="2"/>
      <c r="J46" s="21"/>
      <c r="K46" s="6">
        <f t="shared" si="10"/>
        <v>0</v>
      </c>
      <c r="L46" s="6">
        <f t="shared" si="0"/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6" t="e">
        <f t="shared" si="9"/>
        <v>#NUM!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ht="15.75" customHeight="1">
      <c r="A47" s="1">
        <v>46</v>
      </c>
      <c r="B47" s="12" t="s">
        <v>38</v>
      </c>
      <c r="C47" s="13"/>
      <c r="D47" s="30"/>
      <c r="E47" s="13" t="s">
        <v>20</v>
      </c>
      <c r="F47" s="13" t="s">
        <v>29</v>
      </c>
      <c r="G47" s="13" t="s">
        <v>30</v>
      </c>
      <c r="H47" s="6" t="s">
        <v>125</v>
      </c>
      <c r="I47" s="2"/>
      <c r="J47" s="21"/>
      <c r="K47" s="6">
        <f t="shared" si="10"/>
        <v>0</v>
      </c>
      <c r="L47" s="6">
        <f t="shared" si="0"/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6" t="e">
        <f t="shared" si="9"/>
        <v>#NUM!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ht="15.75" customHeight="1">
      <c r="A48" s="1">
        <v>47</v>
      </c>
      <c r="B48" s="12" t="s">
        <v>44</v>
      </c>
      <c r="C48" s="13"/>
      <c r="D48" s="30"/>
      <c r="E48" s="13" t="s">
        <v>20</v>
      </c>
      <c r="F48" s="13" t="s">
        <v>29</v>
      </c>
      <c r="G48" s="13" t="s">
        <v>27</v>
      </c>
      <c r="H48" s="6" t="s">
        <v>126</v>
      </c>
      <c r="I48" s="2"/>
      <c r="J48" s="21"/>
      <c r="K48" s="6">
        <f t="shared" si="10"/>
        <v>0</v>
      </c>
      <c r="L48" s="6">
        <f t="shared" si="0"/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6" t="e">
        <f t="shared" si="9"/>
        <v>#NUM!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ht="15.75" customHeight="1">
      <c r="A49" s="1">
        <v>48</v>
      </c>
      <c r="B49" s="12" t="s">
        <v>49</v>
      </c>
      <c r="C49" s="13"/>
      <c r="D49" s="30"/>
      <c r="E49" s="13" t="s">
        <v>36</v>
      </c>
      <c r="F49" s="13" t="s">
        <v>29</v>
      </c>
      <c r="G49" s="13" t="s">
        <v>30</v>
      </c>
      <c r="H49" s="6" t="s">
        <v>127</v>
      </c>
      <c r="I49" s="2"/>
      <c r="J49" s="21"/>
      <c r="K49" s="6">
        <f t="shared" si="10"/>
        <v>0</v>
      </c>
      <c r="L49" s="6">
        <f t="shared" si="0"/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6" t="e">
        <f t="shared" si="9"/>
        <v>#NUM!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ht="15.75" customHeight="1">
      <c r="A50" s="1">
        <v>49</v>
      </c>
      <c r="B50" s="12" t="s">
        <v>40</v>
      </c>
      <c r="C50" s="13"/>
      <c r="D50" s="30"/>
      <c r="E50" s="13"/>
      <c r="F50" s="13"/>
      <c r="G50" s="13"/>
      <c r="H50" s="6"/>
      <c r="I50" s="2"/>
      <c r="J50" s="21"/>
      <c r="K50" s="6">
        <f t="shared" si="10"/>
        <v>0</v>
      </c>
      <c r="L50" s="6">
        <f t="shared" si="0"/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6" t="e">
        <f t="shared" si="9"/>
        <v>#NUM!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ht="15.75" customHeight="1">
      <c r="A51" s="1">
        <v>50</v>
      </c>
      <c r="B51" s="12" t="s">
        <v>49</v>
      </c>
      <c r="C51" s="16"/>
      <c r="D51" s="30"/>
      <c r="E51" s="13" t="s">
        <v>20</v>
      </c>
      <c r="F51" s="13" t="s">
        <v>29</v>
      </c>
      <c r="G51" s="13" t="s">
        <v>30</v>
      </c>
      <c r="H51" s="6" t="s">
        <v>128</v>
      </c>
      <c r="I51" s="2"/>
      <c r="J51" s="6"/>
      <c r="K51" s="6">
        <f t="shared" si="10"/>
        <v>0</v>
      </c>
      <c r="L51" s="6">
        <f t="shared" si="0"/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6" t="e">
        <f t="shared" si="9"/>
        <v>#NUM!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ht="15.75" customHeight="1">
      <c r="A52" s="1">
        <v>51</v>
      </c>
      <c r="B52" s="12" t="s">
        <v>18</v>
      </c>
      <c r="C52" s="13"/>
      <c r="D52" s="30"/>
      <c r="E52" s="13" t="s">
        <v>20</v>
      </c>
      <c r="F52" s="13" t="s">
        <v>29</v>
      </c>
      <c r="G52" s="13" t="s">
        <v>23</v>
      </c>
      <c r="H52" s="6" t="s">
        <v>129</v>
      </c>
      <c r="I52" s="2"/>
      <c r="J52" s="6"/>
      <c r="K52" s="6">
        <f t="shared" si="10"/>
        <v>0</v>
      </c>
      <c r="L52" s="6">
        <f t="shared" si="0"/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6" t="e">
        <f t="shared" si="9"/>
        <v>#NUM!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ht="15.75" customHeight="1">
      <c r="A53" s="1">
        <v>52</v>
      </c>
      <c r="B53" s="12" t="s">
        <v>38</v>
      </c>
      <c r="C53" s="16"/>
      <c r="D53" s="30"/>
      <c r="E53" s="13" t="s">
        <v>36</v>
      </c>
      <c r="F53" s="13" t="s">
        <v>29</v>
      </c>
      <c r="G53" s="13" t="s">
        <v>30</v>
      </c>
      <c r="H53" s="6" t="s">
        <v>130</v>
      </c>
      <c r="I53" s="2"/>
      <c r="J53" s="6"/>
      <c r="K53" s="6">
        <f t="shared" si="10"/>
        <v>0</v>
      </c>
      <c r="L53" s="6">
        <f t="shared" si="0"/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6" t="e">
        <f t="shared" si="9"/>
        <v>#NUM!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ht="15.75" customHeight="1">
      <c r="A54" s="1">
        <v>53</v>
      </c>
      <c r="B54" s="12" t="s">
        <v>18</v>
      </c>
      <c r="C54" s="13"/>
      <c r="D54" s="30"/>
      <c r="E54" s="16" t="s">
        <v>19</v>
      </c>
      <c r="F54" s="16" t="s">
        <v>29</v>
      </c>
      <c r="G54" s="16" t="s">
        <v>27</v>
      </c>
      <c r="H54" s="6" t="s">
        <v>129</v>
      </c>
      <c r="I54" s="2"/>
      <c r="J54" s="6"/>
      <c r="K54" s="6">
        <f t="shared" si="10"/>
        <v>0</v>
      </c>
      <c r="L54" s="6">
        <f t="shared" si="0"/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6" t="e">
        <f t="shared" si="9"/>
        <v>#NUM!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ht="15.75" customHeight="1">
      <c r="A55" s="1">
        <v>54</v>
      </c>
      <c r="B55" s="12" t="s">
        <v>28</v>
      </c>
      <c r="C55" s="13"/>
      <c r="D55" s="30"/>
      <c r="E55" s="13" t="s">
        <v>20</v>
      </c>
      <c r="F55" s="16" t="s">
        <v>29</v>
      </c>
      <c r="G55" s="16" t="s">
        <v>27</v>
      </c>
      <c r="H55" s="6" t="s">
        <v>131</v>
      </c>
      <c r="I55" s="2"/>
      <c r="J55" s="6"/>
      <c r="K55" s="6">
        <f t="shared" si="10"/>
        <v>0</v>
      </c>
      <c r="L55" s="6">
        <f t="shared" si="0"/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6" t="e">
        <f t="shared" si="9"/>
        <v>#NUM!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ht="15.75" customHeight="1">
      <c r="A56" s="1">
        <v>55</v>
      </c>
      <c r="B56" s="22" t="s">
        <v>53</v>
      </c>
      <c r="C56" s="16"/>
      <c r="D56" s="30"/>
      <c r="E56" s="16"/>
      <c r="F56" s="16"/>
      <c r="G56" s="16"/>
      <c r="H56" s="6"/>
      <c r="I56" s="2"/>
      <c r="J56" s="6"/>
      <c r="K56" s="6">
        <f t="shared" si="10"/>
        <v>0</v>
      </c>
      <c r="L56" s="6">
        <f t="shared" si="0"/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6" t="e">
        <f t="shared" si="9"/>
        <v>#NUM!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ht="15.75" customHeight="1">
      <c r="A57" s="1">
        <v>56</v>
      </c>
      <c r="B57" s="22" t="s">
        <v>35</v>
      </c>
      <c r="C57" s="16"/>
      <c r="D57" s="30"/>
      <c r="E57" s="16" t="s">
        <v>20</v>
      </c>
      <c r="F57" s="16" t="s">
        <v>29</v>
      </c>
      <c r="G57" s="16" t="s">
        <v>21</v>
      </c>
      <c r="H57" s="6" t="s">
        <v>131</v>
      </c>
      <c r="I57" s="2"/>
      <c r="J57" s="6"/>
      <c r="K57" s="6">
        <f t="shared" si="10"/>
        <v>0</v>
      </c>
      <c r="L57" s="6">
        <f t="shared" si="0"/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6" t="e">
        <f t="shared" si="9"/>
        <v>#NUM!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15.75" customHeight="1">
      <c r="A58" s="1">
        <v>57</v>
      </c>
      <c r="B58" s="22" t="s">
        <v>49</v>
      </c>
      <c r="C58" s="16"/>
      <c r="D58" s="30"/>
      <c r="E58" s="16" t="s">
        <v>20</v>
      </c>
      <c r="F58" s="16" t="s">
        <v>29</v>
      </c>
      <c r="G58" s="16" t="s">
        <v>30</v>
      </c>
      <c r="H58" s="6" t="s">
        <v>132</v>
      </c>
      <c r="I58" s="2"/>
      <c r="J58" s="6"/>
      <c r="K58" s="6">
        <f t="shared" si="10"/>
        <v>0</v>
      </c>
      <c r="L58" s="6">
        <f t="shared" si="0"/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6" t="e">
        <f t="shared" si="9"/>
        <v>#NUM!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5.75" customHeight="1">
      <c r="A59" s="1">
        <v>58</v>
      </c>
      <c r="B59" s="32" t="s">
        <v>40</v>
      </c>
      <c r="C59" s="16"/>
      <c r="D59" s="30"/>
      <c r="E59" s="16"/>
      <c r="F59" s="16"/>
      <c r="G59" s="16"/>
      <c r="H59" s="6"/>
      <c r="I59" s="2"/>
      <c r="J59" s="6"/>
      <c r="K59" s="6">
        <f t="shared" si="10"/>
        <v>0</v>
      </c>
      <c r="L59" s="6">
        <f t="shared" si="0"/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6" t="e">
        <f t="shared" si="9"/>
        <v>#NUM!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15.75" customHeight="1">
      <c r="A60" s="1">
        <v>59</v>
      </c>
      <c r="B60" s="22" t="s">
        <v>38</v>
      </c>
      <c r="C60" s="16"/>
      <c r="D60" s="30"/>
      <c r="E60" s="16" t="s">
        <v>20</v>
      </c>
      <c r="F60" s="16" t="s">
        <v>29</v>
      </c>
      <c r="G60" s="16" t="s">
        <v>30</v>
      </c>
      <c r="H60" s="6" t="s">
        <v>133</v>
      </c>
      <c r="I60" s="2"/>
      <c r="J60" s="6"/>
      <c r="K60" s="6">
        <f t="shared" si="10"/>
        <v>0</v>
      </c>
      <c r="L60" s="6">
        <f t="shared" si="0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6" t="e">
        <f t="shared" si="9"/>
        <v>#NUM!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ht="15.75" customHeight="1">
      <c r="A61" s="1">
        <v>60</v>
      </c>
      <c r="B61" s="22" t="s">
        <v>28</v>
      </c>
      <c r="C61" s="16"/>
      <c r="D61" s="30"/>
      <c r="E61" s="16" t="s">
        <v>20</v>
      </c>
      <c r="F61" s="16" t="s">
        <v>29</v>
      </c>
      <c r="G61" s="16" t="s">
        <v>21</v>
      </c>
      <c r="H61" s="6" t="s">
        <v>134</v>
      </c>
      <c r="I61" s="2"/>
      <c r="J61" s="6"/>
      <c r="K61" s="6">
        <f t="shared" si="10"/>
        <v>0</v>
      </c>
      <c r="L61" s="6">
        <f t="shared" si="0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6" t="e">
        <f t="shared" si="9"/>
        <v>#NUM!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ht="15.75" customHeight="1">
      <c r="A62" s="1">
        <v>61</v>
      </c>
      <c r="B62" s="22" t="s">
        <v>41</v>
      </c>
      <c r="C62" s="16"/>
      <c r="D62" s="30"/>
      <c r="E62" s="16" t="s">
        <v>20</v>
      </c>
      <c r="F62" s="16" t="s">
        <v>29</v>
      </c>
      <c r="G62" s="16" t="s">
        <v>27</v>
      </c>
      <c r="H62" s="6" t="s">
        <v>135</v>
      </c>
      <c r="I62" s="2"/>
      <c r="J62" s="6"/>
      <c r="K62" s="6">
        <f t="shared" si="10"/>
        <v>0</v>
      </c>
      <c r="L62" s="6">
        <f t="shared" si="0"/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6" t="e">
        <f t="shared" si="9"/>
        <v>#NUM!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ht="15.75" customHeight="1">
      <c r="A63" s="1">
        <v>62</v>
      </c>
      <c r="B63" s="22" t="s">
        <v>49</v>
      </c>
      <c r="C63" s="16"/>
      <c r="D63" s="30"/>
      <c r="E63" s="16" t="s">
        <v>36</v>
      </c>
      <c r="F63" s="16" t="s">
        <v>29</v>
      </c>
      <c r="G63" s="16" t="s">
        <v>27</v>
      </c>
      <c r="H63" s="6" t="s">
        <v>136</v>
      </c>
      <c r="I63" s="2"/>
      <c r="J63" s="6" t="s">
        <v>56</v>
      </c>
      <c r="K63" s="6">
        <f>SUM(K2:K62)</f>
        <v>200</v>
      </c>
      <c r="L63" s="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6" t="e">
        <f t="shared" si="9"/>
        <v>#NUM!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ht="15.75" customHeight="1">
      <c r="A64" s="1">
        <v>63</v>
      </c>
      <c r="B64" s="22" t="s">
        <v>49</v>
      </c>
      <c r="C64" s="16"/>
      <c r="D64" s="30"/>
      <c r="E64" s="16" t="s">
        <v>19</v>
      </c>
      <c r="F64" s="16" t="s">
        <v>29</v>
      </c>
      <c r="G64" s="16" t="s">
        <v>27</v>
      </c>
      <c r="H64" s="6" t="s">
        <v>138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6" t="e">
        <f t="shared" si="9"/>
        <v>#NUM!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t="15.75" customHeight="1">
      <c r="A65" s="1">
        <v>64</v>
      </c>
      <c r="B65" s="22" t="s">
        <v>18</v>
      </c>
      <c r="C65" s="16"/>
      <c r="D65" s="30"/>
      <c r="E65" s="16" t="s">
        <v>36</v>
      </c>
      <c r="F65" s="16" t="s">
        <v>29</v>
      </c>
      <c r="G65" s="16" t="s">
        <v>27</v>
      </c>
      <c r="H65" s="6" t="s">
        <v>139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6" t="e">
        <f t="shared" si="9"/>
        <v>#NUM!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t="15.75" customHeight="1">
      <c r="A66" s="1">
        <v>65</v>
      </c>
      <c r="B66" s="22" t="s">
        <v>18</v>
      </c>
      <c r="C66" s="16"/>
      <c r="D66" s="30"/>
      <c r="E66" s="16" t="s">
        <v>36</v>
      </c>
      <c r="F66" s="16" t="s">
        <v>20</v>
      </c>
      <c r="G66" s="16" t="s">
        <v>30</v>
      </c>
      <c r="H66" s="6" t="s">
        <v>140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6" t="e">
        <f t="shared" si="9"/>
        <v>#NUM!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ht="15.75" customHeight="1">
      <c r="A67" s="1">
        <v>66</v>
      </c>
      <c r="B67" s="22" t="s">
        <v>28</v>
      </c>
      <c r="C67" s="16"/>
      <c r="D67" s="30"/>
      <c r="E67" s="16" t="s">
        <v>36</v>
      </c>
      <c r="F67" s="16" t="s">
        <v>29</v>
      </c>
      <c r="G67" s="16" t="s">
        <v>21</v>
      </c>
      <c r="H67" s="6" t="s">
        <v>141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6" t="e">
        <f t="shared" si="9"/>
        <v>#NUM!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ht="15.75" customHeight="1">
      <c r="A68" s="1">
        <v>67</v>
      </c>
      <c r="B68" s="22" t="s">
        <v>49</v>
      </c>
      <c r="C68" s="16"/>
      <c r="D68" s="30"/>
      <c r="E68" s="16" t="s">
        <v>20</v>
      </c>
      <c r="F68" s="16" t="s">
        <v>29</v>
      </c>
      <c r="G68" s="16" t="s">
        <v>30</v>
      </c>
      <c r="H68" s="6" t="s">
        <v>137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6" t="e">
        <f t="shared" si="9"/>
        <v>#NUM!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ht="15.75" customHeight="1">
      <c r="A69" s="1">
        <v>68</v>
      </c>
      <c r="B69" s="22" t="s">
        <v>51</v>
      </c>
      <c r="C69" s="16"/>
      <c r="D69" s="30"/>
      <c r="E69" s="16" t="s">
        <v>36</v>
      </c>
      <c r="F69" s="16" t="s">
        <v>29</v>
      </c>
      <c r="G69" s="16" t="s">
        <v>21</v>
      </c>
      <c r="H69" s="6" t="s">
        <v>142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6" t="e">
        <f t="shared" si="9"/>
        <v>#NUM!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15.75" customHeight="1">
      <c r="A70" s="1">
        <v>69</v>
      </c>
      <c r="B70" s="22" t="s">
        <v>31</v>
      </c>
      <c r="C70" s="16"/>
      <c r="D70" s="30"/>
      <c r="E70" s="16" t="s">
        <v>39</v>
      </c>
      <c r="F70" s="16" t="s">
        <v>29</v>
      </c>
      <c r="G70" s="16" t="s">
        <v>21</v>
      </c>
      <c r="H70" s="6" t="s">
        <v>143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6" t="e">
        <f t="shared" si="9"/>
        <v>#NUM!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ht="15.75" customHeight="1">
      <c r="A71" s="1">
        <v>70</v>
      </c>
      <c r="B71" s="22" t="s">
        <v>51</v>
      </c>
      <c r="C71" s="16"/>
      <c r="D71" s="30"/>
      <c r="E71" s="16" t="s">
        <v>20</v>
      </c>
      <c r="F71" s="16" t="s">
        <v>29</v>
      </c>
      <c r="G71" s="16" t="s">
        <v>30</v>
      </c>
      <c r="H71" s="6" t="s">
        <v>144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6" t="e">
        <f t="shared" si="9"/>
        <v>#NUM!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15.75" customHeight="1">
      <c r="A72" s="1">
        <v>71</v>
      </c>
      <c r="B72" s="22" t="s">
        <v>38</v>
      </c>
      <c r="C72" s="16"/>
      <c r="D72" s="30"/>
      <c r="E72" s="16" t="s">
        <v>20</v>
      </c>
      <c r="F72" s="16" t="s">
        <v>29</v>
      </c>
      <c r="G72" s="16" t="s">
        <v>21</v>
      </c>
      <c r="H72" s="6" t="s">
        <v>145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6" t="e">
        <f t="shared" si="9"/>
        <v>#NUM!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15.75" customHeight="1">
      <c r="A73" s="1">
        <v>72</v>
      </c>
      <c r="B73" s="22" t="s">
        <v>18</v>
      </c>
      <c r="C73" s="16"/>
      <c r="D73" s="30"/>
      <c r="E73" s="16" t="s">
        <v>20</v>
      </c>
      <c r="F73" s="16" t="s">
        <v>29</v>
      </c>
      <c r="G73" s="16" t="s">
        <v>27</v>
      </c>
      <c r="H73" s="6" t="s">
        <v>146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6" t="e">
        <f t="shared" si="9"/>
        <v>#NUM!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15.75" customHeight="1">
      <c r="A74" s="1">
        <v>73</v>
      </c>
      <c r="B74" s="22" t="s">
        <v>38</v>
      </c>
      <c r="C74" s="16"/>
      <c r="D74" s="30"/>
      <c r="E74" s="16" t="s">
        <v>20</v>
      </c>
      <c r="F74" s="16" t="s">
        <v>29</v>
      </c>
      <c r="G74" s="16" t="s">
        <v>30</v>
      </c>
      <c r="H74" s="6" t="s">
        <v>147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6" t="e">
        <f t="shared" si="9"/>
        <v>#NUM!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15.75" customHeight="1">
      <c r="A75" s="1">
        <v>74</v>
      </c>
      <c r="B75" s="22" t="s">
        <v>38</v>
      </c>
      <c r="C75" s="16"/>
      <c r="D75" s="30"/>
      <c r="E75" s="16" t="s">
        <v>20</v>
      </c>
      <c r="F75" s="16" t="s">
        <v>29</v>
      </c>
      <c r="G75" s="16" t="s">
        <v>34</v>
      </c>
      <c r="H75" s="6" t="s">
        <v>148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6" t="e">
        <f t="shared" si="9"/>
        <v>#NUM!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15.75" customHeight="1">
      <c r="A76" s="1">
        <v>75</v>
      </c>
      <c r="B76" s="22" t="s">
        <v>49</v>
      </c>
      <c r="C76" s="16"/>
      <c r="D76" s="30"/>
      <c r="E76" s="16" t="s">
        <v>39</v>
      </c>
      <c r="F76" s="16" t="s">
        <v>29</v>
      </c>
      <c r="G76" s="16" t="s">
        <v>27</v>
      </c>
      <c r="H76" s="6" t="s">
        <v>149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6" t="e">
        <f t="shared" si="9"/>
        <v>#NUM!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15.75" customHeight="1">
      <c r="A77" s="1">
        <v>76</v>
      </c>
      <c r="B77" s="22" t="s">
        <v>41</v>
      </c>
      <c r="C77" s="16"/>
      <c r="D77" s="30"/>
      <c r="E77" s="16" t="s">
        <v>39</v>
      </c>
      <c r="F77" s="16" t="s">
        <v>29</v>
      </c>
      <c r="G77" s="16" t="s">
        <v>30</v>
      </c>
      <c r="H77" s="6" t="s">
        <v>143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6" t="e">
        <f t="shared" si="9"/>
        <v>#NUM!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15.75" customHeight="1">
      <c r="A78" s="1">
        <v>77</v>
      </c>
      <c r="B78" s="22" t="s">
        <v>51</v>
      </c>
      <c r="C78" s="16"/>
      <c r="D78" s="30"/>
      <c r="E78" s="16" t="s">
        <v>19</v>
      </c>
      <c r="F78" s="16" t="s">
        <v>29</v>
      </c>
      <c r="G78" s="16" t="s">
        <v>30</v>
      </c>
      <c r="H78" s="6" t="s">
        <v>150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6" t="e">
        <f t="shared" si="9"/>
        <v>#NUM!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15.75" customHeight="1">
      <c r="A79" s="1">
        <v>78</v>
      </c>
      <c r="B79" s="22" t="s">
        <v>31</v>
      </c>
      <c r="C79" s="16"/>
      <c r="D79" s="30"/>
      <c r="E79" s="16" t="s">
        <v>36</v>
      </c>
      <c r="F79" s="16" t="s">
        <v>29</v>
      </c>
      <c r="G79" s="16" t="s">
        <v>34</v>
      </c>
      <c r="H79" s="6" t="s">
        <v>151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6" t="e">
        <f t="shared" si="9"/>
        <v>#NUM!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ht="15.75" customHeight="1">
      <c r="A80" s="1">
        <v>79</v>
      </c>
      <c r="B80" s="22" t="s">
        <v>40</v>
      </c>
      <c r="C80" s="16"/>
      <c r="D80" s="30"/>
      <c r="E80" s="16"/>
      <c r="F80" s="16"/>
      <c r="G80" s="16"/>
      <c r="H80" s="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6" t="e">
        <f t="shared" si="9"/>
        <v>#NUM!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ht="15.75" customHeight="1">
      <c r="A81" s="1">
        <v>80</v>
      </c>
      <c r="B81" s="22" t="s">
        <v>18</v>
      </c>
      <c r="C81" s="16"/>
      <c r="D81" s="30"/>
      <c r="E81" s="16" t="s">
        <v>39</v>
      </c>
      <c r="F81" s="16" t="s">
        <v>29</v>
      </c>
      <c r="G81" s="16" t="s">
        <v>30</v>
      </c>
      <c r="H81" s="6" t="s">
        <v>152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6" t="e">
        <f t="shared" si="9"/>
        <v>#NUM!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15.75" customHeight="1">
      <c r="A82" s="1">
        <v>81</v>
      </c>
      <c r="B82" s="22" t="s">
        <v>51</v>
      </c>
      <c r="C82" s="16"/>
      <c r="D82" s="30"/>
      <c r="E82" s="16" t="s">
        <v>20</v>
      </c>
      <c r="F82" s="16" t="s">
        <v>29</v>
      </c>
      <c r="G82" s="16" t="s">
        <v>30</v>
      </c>
      <c r="H82" s="6" t="s">
        <v>153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6" t="e">
        <f t="shared" si="9"/>
        <v>#NUM!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15.75" customHeight="1">
      <c r="A83" s="1">
        <v>82</v>
      </c>
      <c r="B83" s="22" t="s">
        <v>41</v>
      </c>
      <c r="C83" s="16"/>
      <c r="D83" s="30"/>
      <c r="E83" s="16" t="s">
        <v>20</v>
      </c>
      <c r="F83" s="16" t="s">
        <v>29</v>
      </c>
      <c r="G83" s="16" t="s">
        <v>21</v>
      </c>
      <c r="H83" s="6" t="s">
        <v>154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6" t="e">
        <f t="shared" si="9"/>
        <v>#NUM!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15.75" customHeight="1">
      <c r="A84" s="1">
        <v>83</v>
      </c>
      <c r="B84" s="22" t="s">
        <v>18</v>
      </c>
      <c r="C84" s="16"/>
      <c r="D84" s="30"/>
      <c r="E84" s="16" t="s">
        <v>20</v>
      </c>
      <c r="F84" s="16" t="s">
        <v>29</v>
      </c>
      <c r="G84" s="16" t="s">
        <v>34</v>
      </c>
      <c r="H84" s="6" t="s">
        <v>155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6" t="e">
        <f t="shared" si="9"/>
        <v>#NUM!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5.75" customHeight="1">
      <c r="A85" s="1">
        <v>84</v>
      </c>
      <c r="B85" s="22" t="s">
        <v>40</v>
      </c>
      <c r="C85" s="16"/>
      <c r="D85" s="30"/>
      <c r="E85" s="16"/>
      <c r="F85" s="16"/>
      <c r="G85" s="16"/>
      <c r="H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6" t="e">
        <f t="shared" si="9"/>
        <v>#NUM!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5.75" customHeight="1">
      <c r="A86" s="1">
        <v>85</v>
      </c>
      <c r="B86" s="22" t="s">
        <v>28</v>
      </c>
      <c r="C86" s="16"/>
      <c r="D86" s="30"/>
      <c r="E86" s="16"/>
      <c r="F86" s="16"/>
      <c r="G86" s="16"/>
      <c r="H86" s="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6" t="e">
        <f t="shared" si="9"/>
        <v>#NUM!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5.75" customHeight="1">
      <c r="A87" s="1">
        <v>86</v>
      </c>
      <c r="B87" s="22" t="s">
        <v>38</v>
      </c>
      <c r="C87" s="16"/>
      <c r="D87" s="30"/>
      <c r="E87" s="16" t="s">
        <v>20</v>
      </c>
      <c r="F87" s="16" t="s">
        <v>29</v>
      </c>
      <c r="G87" s="16" t="s">
        <v>30</v>
      </c>
      <c r="H87" s="6" t="s">
        <v>156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6" t="e">
        <f t="shared" si="9"/>
        <v>#NUM!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5.75" customHeight="1">
      <c r="A88" s="1">
        <v>87</v>
      </c>
      <c r="B88" s="22" t="s">
        <v>38</v>
      </c>
      <c r="C88" s="16"/>
      <c r="D88" s="30"/>
      <c r="E88" s="16" t="s">
        <v>20</v>
      </c>
      <c r="F88" s="16" t="s">
        <v>29</v>
      </c>
      <c r="G88" s="16" t="s">
        <v>30</v>
      </c>
      <c r="H88" s="6" t="s">
        <v>157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6" t="e">
        <f t="shared" si="9"/>
        <v>#NUM!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5.75" customHeight="1">
      <c r="A89" s="1">
        <v>88</v>
      </c>
      <c r="B89" s="22" t="s">
        <v>40</v>
      </c>
      <c r="C89" s="16"/>
      <c r="D89" s="30"/>
      <c r="E89" s="16"/>
      <c r="F89" s="16"/>
      <c r="G89" s="16"/>
      <c r="H89" s="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6" t="e">
        <f t="shared" si="9"/>
        <v>#NUM!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5.75" customHeight="1">
      <c r="A90" s="1">
        <v>89</v>
      </c>
      <c r="B90" s="22" t="s">
        <v>49</v>
      </c>
      <c r="C90" s="16"/>
      <c r="D90" s="30"/>
      <c r="E90" s="16" t="s">
        <v>39</v>
      </c>
      <c r="F90" s="16" t="s">
        <v>29</v>
      </c>
      <c r="G90" s="16" t="s">
        <v>27</v>
      </c>
      <c r="H90" s="6" t="s">
        <v>158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6" t="e">
        <f t="shared" si="9"/>
        <v>#NUM!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15.75" customHeight="1">
      <c r="A91" s="1">
        <v>90</v>
      </c>
      <c r="B91" s="22" t="s">
        <v>38</v>
      </c>
      <c r="C91" s="16"/>
      <c r="D91" s="30"/>
      <c r="E91" s="16" t="s">
        <v>39</v>
      </c>
      <c r="F91" s="16" t="s">
        <v>29</v>
      </c>
      <c r="G91" s="16" t="s">
        <v>30</v>
      </c>
      <c r="H91" s="6" t="s">
        <v>157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6" t="e">
        <f t="shared" si="9"/>
        <v>#NUM!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15.75" customHeight="1">
      <c r="A92" s="1">
        <v>91</v>
      </c>
      <c r="B92" s="22" t="s">
        <v>42</v>
      </c>
      <c r="C92" s="16"/>
      <c r="D92" s="30"/>
      <c r="E92" s="16" t="s">
        <v>39</v>
      </c>
      <c r="F92" s="16" t="s">
        <v>29</v>
      </c>
      <c r="G92" s="16" t="s">
        <v>21</v>
      </c>
      <c r="H92" s="6" t="s">
        <v>159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6" t="e">
        <f t="shared" si="9"/>
        <v>#NUM!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15.75" customHeight="1">
      <c r="A93" s="1">
        <v>92</v>
      </c>
      <c r="B93" s="22" t="s">
        <v>51</v>
      </c>
      <c r="C93" s="16"/>
      <c r="D93" s="30"/>
      <c r="E93" s="16" t="s">
        <v>19</v>
      </c>
      <c r="F93" s="16" t="s">
        <v>29</v>
      </c>
      <c r="G93" s="16" t="s">
        <v>97</v>
      </c>
      <c r="H93" s="6" t="s">
        <v>160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6" t="e">
        <f t="shared" si="9"/>
        <v>#NUM!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15.75" customHeight="1">
      <c r="A94" s="1">
        <v>93</v>
      </c>
      <c r="B94" s="22" t="s">
        <v>49</v>
      </c>
      <c r="C94" s="16"/>
      <c r="D94" s="30"/>
      <c r="E94" s="16" t="s">
        <v>20</v>
      </c>
      <c r="F94" s="16" t="s">
        <v>29</v>
      </c>
      <c r="G94" s="16" t="s">
        <v>30</v>
      </c>
      <c r="H94" s="6" t="s">
        <v>161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6" t="e">
        <f t="shared" si="9"/>
        <v>#NUM!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15.75" customHeight="1">
      <c r="A95" s="1">
        <v>94</v>
      </c>
      <c r="B95" s="22" t="s">
        <v>18</v>
      </c>
      <c r="C95" s="16"/>
      <c r="D95" s="30"/>
      <c r="E95" s="16" t="s">
        <v>20</v>
      </c>
      <c r="F95" s="16" t="s">
        <v>29</v>
      </c>
      <c r="G95" s="16" t="s">
        <v>30</v>
      </c>
      <c r="H95" s="6" t="s">
        <v>162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6" t="e">
        <f t="shared" si="9"/>
        <v>#NUM!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15.75" customHeight="1">
      <c r="A96" s="1">
        <v>95</v>
      </c>
      <c r="B96" s="22" t="s">
        <v>38</v>
      </c>
      <c r="C96" s="16"/>
      <c r="D96" s="30"/>
      <c r="E96" s="16" t="s">
        <v>39</v>
      </c>
      <c r="F96" s="16" t="s">
        <v>29</v>
      </c>
      <c r="G96" s="16" t="s">
        <v>30</v>
      </c>
      <c r="H96" s="6" t="s">
        <v>163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6" t="e">
        <f t="shared" si="9"/>
        <v>#NUM!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15.75" customHeight="1">
      <c r="A97" s="1">
        <v>96</v>
      </c>
      <c r="B97" s="22" t="s">
        <v>28</v>
      </c>
      <c r="C97" s="16"/>
      <c r="D97" s="30"/>
      <c r="E97" s="16" t="s">
        <v>20</v>
      </c>
      <c r="F97" s="16" t="s">
        <v>29</v>
      </c>
      <c r="G97" s="16" t="s">
        <v>30</v>
      </c>
      <c r="H97" s="6" t="s">
        <v>164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6" t="e">
        <f t="shared" si="9"/>
        <v>#NUM!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15.75" customHeight="1">
      <c r="A98" s="1">
        <v>97</v>
      </c>
      <c r="B98" s="22" t="s">
        <v>38</v>
      </c>
      <c r="C98" s="16"/>
      <c r="D98" s="30"/>
      <c r="E98" s="16" t="s">
        <v>20</v>
      </c>
      <c r="F98" s="16" t="s">
        <v>29</v>
      </c>
      <c r="G98" s="16" t="s">
        <v>27</v>
      </c>
      <c r="H98" s="6" t="s">
        <v>165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6" t="e">
        <f t="shared" si="9"/>
        <v>#NUM!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15.75" customHeight="1">
      <c r="A99" s="1">
        <v>98</v>
      </c>
      <c r="B99" s="22" t="s">
        <v>49</v>
      </c>
      <c r="C99" s="16"/>
      <c r="D99" s="30"/>
      <c r="E99" s="16" t="s">
        <v>20</v>
      </c>
      <c r="F99" s="16" t="s">
        <v>29</v>
      </c>
      <c r="G99" s="16" t="s">
        <v>30</v>
      </c>
      <c r="H99" s="6" t="s">
        <v>166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6" t="e">
        <f t="shared" si="9"/>
        <v>#NUM!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15.75" customHeight="1">
      <c r="A100" s="1">
        <v>99</v>
      </c>
      <c r="B100" s="22" t="s">
        <v>40</v>
      </c>
      <c r="C100" s="16"/>
      <c r="D100" s="30"/>
      <c r="E100" s="16"/>
      <c r="F100" s="16"/>
      <c r="G100" s="33"/>
      <c r="H100" s="6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6" t="e">
        <f t="shared" si="9"/>
        <v>#NUM!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15.75" customHeight="1">
      <c r="A101" s="1">
        <v>100</v>
      </c>
      <c r="B101" s="22" t="s">
        <v>49</v>
      </c>
      <c r="C101" s="16"/>
      <c r="D101" s="30"/>
      <c r="E101" s="16" t="s">
        <v>36</v>
      </c>
      <c r="F101" s="16" t="s">
        <v>29</v>
      </c>
      <c r="G101" s="33" t="s">
        <v>168</v>
      </c>
      <c r="H101" s="6" t="s">
        <v>169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6" t="e">
        <f t="shared" si="9"/>
        <v>#NUM!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15.75" customHeight="1">
      <c r="A102" s="1">
        <v>101</v>
      </c>
      <c r="B102" s="6" t="s">
        <v>35</v>
      </c>
      <c r="C102" s="6"/>
      <c r="D102" s="11"/>
      <c r="E102" s="6" t="s">
        <v>20</v>
      </c>
      <c r="F102" s="6" t="s">
        <v>29</v>
      </c>
      <c r="G102" s="6" t="s">
        <v>27</v>
      </c>
      <c r="H102" s="6" t="s">
        <v>170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15.75" customHeight="1">
      <c r="A103" s="1">
        <v>102</v>
      </c>
      <c r="B103" s="6" t="s">
        <v>18</v>
      </c>
      <c r="C103" s="6"/>
      <c r="D103" s="11"/>
      <c r="E103" s="6" t="s">
        <v>39</v>
      </c>
      <c r="F103" s="6" t="s">
        <v>20</v>
      </c>
      <c r="G103" s="6" t="s">
        <v>30</v>
      </c>
      <c r="H103" s="6" t="s">
        <v>171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15.75" customHeight="1">
      <c r="A104" s="1">
        <v>103</v>
      </c>
      <c r="B104" s="6" t="s">
        <v>38</v>
      </c>
      <c r="C104" s="6"/>
      <c r="D104" s="11"/>
      <c r="E104" s="6" t="s">
        <v>20</v>
      </c>
      <c r="F104" s="6" t="s">
        <v>29</v>
      </c>
      <c r="G104" s="6" t="s">
        <v>30</v>
      </c>
      <c r="H104" s="6" t="s">
        <v>172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15.75" customHeight="1">
      <c r="A105" s="1">
        <v>104</v>
      </c>
      <c r="B105" s="6" t="s">
        <v>38</v>
      </c>
      <c r="C105" s="6"/>
      <c r="D105" s="11"/>
      <c r="E105" s="6" t="s">
        <v>39</v>
      </c>
      <c r="F105" s="6" t="s">
        <v>29</v>
      </c>
      <c r="G105" s="6" t="s">
        <v>30</v>
      </c>
      <c r="H105" s="6" t="s">
        <v>173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15.75" customHeight="1">
      <c r="A106" s="1">
        <v>105</v>
      </c>
      <c r="B106" s="6" t="s">
        <v>38</v>
      </c>
      <c r="C106" s="6"/>
      <c r="D106" s="11"/>
      <c r="E106" s="6" t="s">
        <v>20</v>
      </c>
      <c r="F106" s="6" t="s">
        <v>29</v>
      </c>
      <c r="G106" s="6" t="s">
        <v>30</v>
      </c>
      <c r="H106" s="6" t="s">
        <v>174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15.75" customHeight="1">
      <c r="A107" s="1">
        <v>106</v>
      </c>
      <c r="B107" s="6" t="s">
        <v>41</v>
      </c>
      <c r="C107" s="6"/>
      <c r="D107" s="11"/>
      <c r="E107" s="6" t="s">
        <v>19</v>
      </c>
      <c r="F107" s="6" t="s">
        <v>20</v>
      </c>
      <c r="G107" s="6" t="s">
        <v>30</v>
      </c>
      <c r="H107" s="6" t="s">
        <v>175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15.75" customHeight="1">
      <c r="A108" s="1">
        <v>107</v>
      </c>
      <c r="B108" s="6" t="s">
        <v>49</v>
      </c>
      <c r="C108" s="6"/>
      <c r="D108" s="11"/>
      <c r="E108" s="6" t="s">
        <v>36</v>
      </c>
      <c r="F108" s="6" t="s">
        <v>29</v>
      </c>
      <c r="G108" s="6" t="s">
        <v>27</v>
      </c>
      <c r="H108" s="6" t="s">
        <v>142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15.75" customHeight="1">
      <c r="A109" s="1">
        <v>108</v>
      </c>
      <c r="B109" s="6" t="s">
        <v>49</v>
      </c>
      <c r="C109" s="6"/>
      <c r="D109" s="11"/>
      <c r="E109" s="6" t="s">
        <v>36</v>
      </c>
      <c r="F109" s="6" t="s">
        <v>29</v>
      </c>
      <c r="G109" s="6" t="s">
        <v>30</v>
      </c>
      <c r="H109" s="6" t="s">
        <v>176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15.75" customHeight="1">
      <c r="A110" s="1">
        <v>109</v>
      </c>
      <c r="B110" s="6" t="s">
        <v>18</v>
      </c>
      <c r="C110" s="6"/>
      <c r="D110" s="11"/>
      <c r="E110" s="6" t="s">
        <v>39</v>
      </c>
      <c r="F110" s="6" t="s">
        <v>20</v>
      </c>
      <c r="G110" s="6" t="s">
        <v>30</v>
      </c>
      <c r="H110" s="6" t="s">
        <v>177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15.75" customHeight="1">
      <c r="A111" s="1">
        <v>110</v>
      </c>
      <c r="B111" s="6" t="s">
        <v>49</v>
      </c>
      <c r="C111" s="6"/>
      <c r="D111" s="11"/>
      <c r="E111" s="6" t="s">
        <v>36</v>
      </c>
      <c r="F111" s="6" t="s">
        <v>29</v>
      </c>
      <c r="G111" s="6" t="s">
        <v>27</v>
      </c>
      <c r="H111" s="6" t="s">
        <v>142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15.75" customHeight="1">
      <c r="A112" s="1">
        <v>111</v>
      </c>
      <c r="B112" s="6" t="s">
        <v>18</v>
      </c>
      <c r="C112" s="6"/>
      <c r="D112" s="11"/>
      <c r="E112" s="6" t="s">
        <v>36</v>
      </c>
      <c r="F112" s="6" t="s">
        <v>20</v>
      </c>
      <c r="G112" s="6" t="s">
        <v>30</v>
      </c>
      <c r="H112" s="6" t="s">
        <v>177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15.75" customHeight="1">
      <c r="A113" s="1">
        <v>112</v>
      </c>
      <c r="B113" s="6" t="s">
        <v>49</v>
      </c>
      <c r="C113" s="6"/>
      <c r="D113" s="11"/>
      <c r="E113" s="6" t="s">
        <v>19</v>
      </c>
      <c r="F113" s="6" t="s">
        <v>29</v>
      </c>
      <c r="G113" s="6" t="s">
        <v>30</v>
      </c>
      <c r="H113" s="6" t="s">
        <v>178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15.75" customHeight="1">
      <c r="A114" s="1">
        <v>113</v>
      </c>
      <c r="B114" s="6" t="s">
        <v>51</v>
      </c>
      <c r="C114" s="6"/>
      <c r="D114" s="11"/>
      <c r="E114" s="6" t="s">
        <v>22</v>
      </c>
      <c r="F114" s="6" t="s">
        <v>20</v>
      </c>
      <c r="G114" s="6" t="s">
        <v>34</v>
      </c>
      <c r="H114" s="6" t="s">
        <v>179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15.75" customHeight="1">
      <c r="A115" s="1">
        <v>114</v>
      </c>
      <c r="B115" s="22" t="s">
        <v>28</v>
      </c>
      <c r="C115" s="16"/>
      <c r="D115" s="30"/>
      <c r="E115" s="16" t="s">
        <v>20</v>
      </c>
      <c r="F115" s="16" t="s">
        <v>29</v>
      </c>
      <c r="G115" s="16" t="s">
        <v>30</v>
      </c>
      <c r="H115" s="6" t="s">
        <v>164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15.75" customHeight="1">
      <c r="A116" s="1">
        <v>115</v>
      </c>
      <c r="B116" s="6" t="s">
        <v>38</v>
      </c>
      <c r="C116" s="6"/>
      <c r="D116" s="11"/>
      <c r="E116" s="6" t="s">
        <v>20</v>
      </c>
      <c r="F116" s="6" t="s">
        <v>29</v>
      </c>
      <c r="G116" s="6" t="s">
        <v>97</v>
      </c>
      <c r="H116" s="6" t="s">
        <v>180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15.75" customHeight="1">
      <c r="A117" s="1">
        <v>116</v>
      </c>
      <c r="B117" s="6" t="s">
        <v>32</v>
      </c>
      <c r="C117" s="6"/>
      <c r="D117" s="11"/>
      <c r="E117" s="6" t="s">
        <v>39</v>
      </c>
      <c r="F117" s="6" t="s">
        <v>29</v>
      </c>
      <c r="G117" s="6" t="s">
        <v>27</v>
      </c>
      <c r="H117" s="6" t="s">
        <v>181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15.75" customHeight="1">
      <c r="A118" s="1">
        <v>117</v>
      </c>
      <c r="B118" s="6" t="s">
        <v>44</v>
      </c>
      <c r="C118" s="6"/>
      <c r="D118" s="11"/>
      <c r="E118" s="6" t="s">
        <v>36</v>
      </c>
      <c r="F118" s="6" t="s">
        <v>182</v>
      </c>
      <c r="G118" s="6" t="s">
        <v>21</v>
      </c>
      <c r="H118" s="6" t="s">
        <v>183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15.75" customHeight="1">
      <c r="A119" s="1">
        <v>118</v>
      </c>
      <c r="B119" s="6" t="s">
        <v>40</v>
      </c>
      <c r="C119" s="6"/>
      <c r="D119" s="11"/>
      <c r="E119" s="6"/>
      <c r="F119" s="6"/>
      <c r="G119" s="6"/>
      <c r="H119" s="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15.75" customHeight="1">
      <c r="A120" s="1">
        <v>119</v>
      </c>
      <c r="B120" s="6" t="s">
        <v>28</v>
      </c>
      <c r="C120" s="6"/>
      <c r="D120" s="11"/>
      <c r="E120" s="6" t="s">
        <v>20</v>
      </c>
      <c r="F120" s="6" t="s">
        <v>29</v>
      </c>
      <c r="G120" s="6" t="s">
        <v>30</v>
      </c>
      <c r="H120" s="6" t="s">
        <v>181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15.75" customHeight="1">
      <c r="A121" s="1">
        <v>120</v>
      </c>
      <c r="B121" s="6" t="s">
        <v>28</v>
      </c>
      <c r="C121" s="6"/>
      <c r="D121" s="11"/>
      <c r="E121" s="6" t="s">
        <v>20</v>
      </c>
      <c r="F121" s="6" t="s">
        <v>29</v>
      </c>
      <c r="G121" s="6" t="s">
        <v>30</v>
      </c>
      <c r="H121" s="6" t="s">
        <v>181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15.75" customHeight="1">
      <c r="A122" s="1">
        <v>121</v>
      </c>
      <c r="B122" s="6" t="s">
        <v>40</v>
      </c>
      <c r="C122" s="6"/>
      <c r="D122" s="11"/>
      <c r="E122" s="6"/>
      <c r="F122" s="6"/>
      <c r="G122" s="6"/>
      <c r="H122" s="6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15.75" customHeight="1">
      <c r="A123" s="1">
        <v>122</v>
      </c>
      <c r="B123" s="6" t="s">
        <v>35</v>
      </c>
      <c r="C123" s="6"/>
      <c r="D123" s="11"/>
      <c r="E123" s="6" t="s">
        <v>20</v>
      </c>
      <c r="F123" s="6" t="s">
        <v>29</v>
      </c>
      <c r="G123" s="6" t="s">
        <v>30</v>
      </c>
      <c r="H123" s="6" t="s">
        <v>181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15.75" customHeight="1">
      <c r="A124" s="1">
        <v>123</v>
      </c>
      <c r="B124" s="6" t="s">
        <v>41</v>
      </c>
      <c r="C124" s="6"/>
      <c r="D124" s="11"/>
      <c r="E124" s="6" t="s">
        <v>39</v>
      </c>
      <c r="F124" s="6" t="s">
        <v>29</v>
      </c>
      <c r="G124" s="6" t="s">
        <v>30</v>
      </c>
      <c r="H124" s="6" t="s">
        <v>184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15.75" customHeight="1">
      <c r="A125" s="1">
        <v>124</v>
      </c>
      <c r="B125" s="6" t="s">
        <v>54</v>
      </c>
      <c r="C125" s="6"/>
      <c r="D125" s="11"/>
      <c r="E125" s="6"/>
      <c r="F125" s="6"/>
      <c r="G125" s="6"/>
      <c r="H125" s="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15.75" customHeight="1">
      <c r="A126" s="1">
        <v>125</v>
      </c>
      <c r="B126" s="6" t="s">
        <v>48</v>
      </c>
      <c r="C126" s="6"/>
      <c r="D126" s="11"/>
      <c r="E126" s="6" t="s">
        <v>36</v>
      </c>
      <c r="F126" s="6" t="s">
        <v>29</v>
      </c>
      <c r="G126" s="6" t="s">
        <v>30</v>
      </c>
      <c r="H126" s="6" t="s">
        <v>185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15.75" customHeight="1">
      <c r="A127" s="1">
        <v>126</v>
      </c>
      <c r="B127" s="6" t="s">
        <v>28</v>
      </c>
      <c r="C127" s="6"/>
      <c r="D127" s="11"/>
      <c r="E127" s="6" t="s">
        <v>36</v>
      </c>
      <c r="F127" s="6" t="s">
        <v>29</v>
      </c>
      <c r="G127" s="6" t="s">
        <v>30</v>
      </c>
      <c r="H127" s="6" t="s">
        <v>186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15.75" customHeight="1">
      <c r="A128" s="1">
        <v>127</v>
      </c>
      <c r="B128" s="6" t="s">
        <v>31</v>
      </c>
      <c r="C128" s="6"/>
      <c r="D128" s="11"/>
      <c r="E128" s="6" t="s">
        <v>39</v>
      </c>
      <c r="F128" s="6" t="s">
        <v>29</v>
      </c>
      <c r="G128" s="6" t="s">
        <v>30</v>
      </c>
      <c r="H128" s="6" t="s">
        <v>187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15.75" customHeight="1">
      <c r="A129" s="1">
        <v>128</v>
      </c>
      <c r="B129" s="6" t="s">
        <v>38</v>
      </c>
      <c r="C129" s="6"/>
      <c r="D129" s="11"/>
      <c r="E129" s="6" t="s">
        <v>19</v>
      </c>
      <c r="F129" s="6" t="s">
        <v>29</v>
      </c>
      <c r="G129" s="6" t="s">
        <v>30</v>
      </c>
      <c r="H129" s="6" t="s">
        <v>148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15.75" customHeight="1">
      <c r="A130" s="1">
        <v>129</v>
      </c>
      <c r="B130" s="6" t="s">
        <v>42</v>
      </c>
      <c r="C130" s="6"/>
      <c r="D130" s="11"/>
      <c r="E130" s="6" t="s">
        <v>26</v>
      </c>
      <c r="F130" s="6" t="s">
        <v>29</v>
      </c>
      <c r="G130" s="6" t="s">
        <v>27</v>
      </c>
      <c r="H130" s="6" t="s">
        <v>188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15.75" customHeight="1">
      <c r="A131" s="1">
        <v>130</v>
      </c>
      <c r="B131" s="6" t="s">
        <v>40</v>
      </c>
      <c r="C131" s="6"/>
      <c r="D131" s="11"/>
      <c r="E131" s="6"/>
      <c r="F131" s="6"/>
      <c r="G131" s="6"/>
      <c r="H131" s="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15.75" customHeight="1">
      <c r="A132" s="1">
        <v>131</v>
      </c>
      <c r="B132" s="6" t="s">
        <v>18</v>
      </c>
      <c r="C132" s="6"/>
      <c r="D132" s="11"/>
      <c r="E132" s="6" t="s">
        <v>20</v>
      </c>
      <c r="F132" s="6" t="s">
        <v>29</v>
      </c>
      <c r="G132" s="6" t="s">
        <v>30</v>
      </c>
      <c r="H132" s="6" t="s">
        <v>189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15.75" customHeight="1">
      <c r="A133" s="1">
        <v>132</v>
      </c>
      <c r="B133" s="6" t="s">
        <v>40</v>
      </c>
      <c r="C133" s="6"/>
      <c r="D133" s="11"/>
      <c r="E133" s="6"/>
      <c r="F133" s="6"/>
      <c r="G133" s="6"/>
      <c r="H133" s="6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15.75" customHeight="1">
      <c r="A134" s="1">
        <v>133</v>
      </c>
      <c r="B134" s="6" t="s">
        <v>41</v>
      </c>
      <c r="C134" s="6"/>
      <c r="D134" s="11"/>
      <c r="E134" s="6" t="s">
        <v>20</v>
      </c>
      <c r="F134" s="6" t="s">
        <v>29</v>
      </c>
      <c r="G134" s="6" t="s">
        <v>27</v>
      </c>
      <c r="H134" s="6" t="s">
        <v>190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15.75" customHeight="1">
      <c r="A135" s="1">
        <v>134</v>
      </c>
      <c r="B135" s="6" t="s">
        <v>49</v>
      </c>
      <c r="C135" s="6"/>
      <c r="D135" s="11"/>
      <c r="E135" s="6" t="s">
        <v>36</v>
      </c>
      <c r="F135" s="6" t="s">
        <v>29</v>
      </c>
      <c r="G135" s="6" t="s">
        <v>34</v>
      </c>
      <c r="H135" s="6" t="s">
        <v>191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15.75" customHeight="1">
      <c r="A136" s="1">
        <v>135</v>
      </c>
      <c r="B136" s="6" t="s">
        <v>38</v>
      </c>
      <c r="C136" s="6"/>
      <c r="D136" s="11"/>
      <c r="E136" s="6" t="s">
        <v>19</v>
      </c>
      <c r="F136" s="6" t="s">
        <v>20</v>
      </c>
      <c r="G136" s="6" t="s">
        <v>34</v>
      </c>
      <c r="H136" s="6" t="s">
        <v>192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15.75" customHeight="1">
      <c r="A137" s="1">
        <v>136</v>
      </c>
      <c r="B137" s="6" t="s">
        <v>32</v>
      </c>
      <c r="C137" s="6"/>
      <c r="D137" s="11"/>
      <c r="E137" s="6" t="s">
        <v>36</v>
      </c>
      <c r="F137" s="6" t="s">
        <v>29</v>
      </c>
      <c r="G137" s="6" t="s">
        <v>27</v>
      </c>
      <c r="H137" s="6" t="s">
        <v>193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15.75" customHeight="1">
      <c r="A138" s="1">
        <v>137</v>
      </c>
      <c r="B138" s="6" t="s">
        <v>38</v>
      </c>
      <c r="C138" s="6"/>
      <c r="D138" s="11"/>
      <c r="E138" s="6" t="s">
        <v>19</v>
      </c>
      <c r="F138" s="6" t="s">
        <v>20</v>
      </c>
      <c r="G138" s="6" t="s">
        <v>34</v>
      </c>
      <c r="H138" s="6" t="s">
        <v>192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15.75" customHeight="1">
      <c r="A139" s="1">
        <v>138</v>
      </c>
      <c r="B139" s="6" t="s">
        <v>18</v>
      </c>
      <c r="C139" s="6"/>
      <c r="D139" s="11"/>
      <c r="E139" s="6" t="s">
        <v>20</v>
      </c>
      <c r="F139" s="6" t="s">
        <v>29</v>
      </c>
      <c r="G139" s="6" t="s">
        <v>30</v>
      </c>
      <c r="H139" s="6" t="s">
        <v>194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15.75" customHeight="1">
      <c r="A140" s="1">
        <v>139</v>
      </c>
      <c r="B140" s="6" t="s">
        <v>41</v>
      </c>
      <c r="C140" s="6"/>
      <c r="D140" s="11"/>
      <c r="E140" s="6" t="s">
        <v>20</v>
      </c>
      <c r="F140" s="6" t="s">
        <v>29</v>
      </c>
      <c r="G140" s="6" t="s">
        <v>27</v>
      </c>
      <c r="H140" s="6" t="s">
        <v>195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15.75" customHeight="1">
      <c r="A141" s="1">
        <v>140</v>
      </c>
      <c r="B141" s="6" t="s">
        <v>38</v>
      </c>
      <c r="C141" s="6"/>
      <c r="D141" s="11"/>
      <c r="E141" s="6" t="s">
        <v>39</v>
      </c>
      <c r="F141" s="6" t="s">
        <v>29</v>
      </c>
      <c r="G141" s="6" t="s">
        <v>30</v>
      </c>
      <c r="H141" s="6" t="s">
        <v>196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15.75" customHeight="1">
      <c r="A142" s="1">
        <v>141</v>
      </c>
      <c r="B142" s="6" t="s">
        <v>18</v>
      </c>
      <c r="C142" s="6"/>
      <c r="D142" s="11"/>
      <c r="E142" s="6" t="s">
        <v>39</v>
      </c>
      <c r="F142" s="6" t="s">
        <v>29</v>
      </c>
      <c r="G142" s="6" t="s">
        <v>30</v>
      </c>
      <c r="H142" s="6" t="s">
        <v>197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15.75" customHeight="1">
      <c r="A143" s="1">
        <v>142</v>
      </c>
      <c r="B143" s="6" t="s">
        <v>38</v>
      </c>
      <c r="C143" s="6"/>
      <c r="D143" s="11"/>
      <c r="E143" s="6" t="s">
        <v>36</v>
      </c>
      <c r="F143" s="6" t="s">
        <v>20</v>
      </c>
      <c r="G143" s="6" t="s">
        <v>27</v>
      </c>
      <c r="H143" s="6" t="s">
        <v>198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15.75" customHeight="1">
      <c r="A144" s="1">
        <v>143</v>
      </c>
      <c r="B144" s="6" t="s">
        <v>28</v>
      </c>
      <c r="C144" s="6"/>
      <c r="D144" s="11"/>
      <c r="E144" s="6" t="s">
        <v>20</v>
      </c>
      <c r="F144" s="6" t="s">
        <v>29</v>
      </c>
      <c r="G144" s="6" t="s">
        <v>30</v>
      </c>
      <c r="H144" s="6" t="s">
        <v>199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15.75" customHeight="1">
      <c r="A145" s="1">
        <v>144</v>
      </c>
      <c r="B145" s="6" t="s">
        <v>41</v>
      </c>
      <c r="C145" s="6"/>
      <c r="D145" s="11"/>
      <c r="E145" s="6" t="s">
        <v>20</v>
      </c>
      <c r="F145" s="6" t="s">
        <v>29</v>
      </c>
      <c r="G145" s="6" t="s">
        <v>27</v>
      </c>
      <c r="H145" s="6" t="s">
        <v>190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15.75" customHeight="1">
      <c r="A146" s="1">
        <v>145</v>
      </c>
      <c r="B146" s="6" t="s">
        <v>18</v>
      </c>
      <c r="C146" s="6"/>
      <c r="D146" s="11"/>
      <c r="E146" s="6" t="s">
        <v>20</v>
      </c>
      <c r="F146" s="6" t="s">
        <v>29</v>
      </c>
      <c r="G146" s="6" t="s">
        <v>30</v>
      </c>
      <c r="H146" s="6" t="s">
        <v>200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15.75" customHeight="1">
      <c r="A147" s="1">
        <v>146</v>
      </c>
      <c r="B147" s="6" t="s">
        <v>49</v>
      </c>
      <c r="C147" s="6"/>
      <c r="D147" s="11"/>
      <c r="E147" s="6" t="s">
        <v>26</v>
      </c>
      <c r="F147" s="6" t="s">
        <v>29</v>
      </c>
      <c r="G147" s="6" t="s">
        <v>34</v>
      </c>
      <c r="H147" s="6" t="s">
        <v>202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15.75" customHeight="1">
      <c r="A148" s="1">
        <v>147</v>
      </c>
      <c r="B148" s="6" t="s">
        <v>18</v>
      </c>
      <c r="C148" s="6"/>
      <c r="D148" s="11"/>
      <c r="E148" s="6" t="s">
        <v>20</v>
      </c>
      <c r="F148" s="6" t="s">
        <v>29</v>
      </c>
      <c r="G148" s="6" t="s">
        <v>30</v>
      </c>
      <c r="H148" s="6" t="s">
        <v>200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15.75" customHeight="1">
      <c r="A149" s="1">
        <v>148</v>
      </c>
      <c r="B149" s="6" t="s">
        <v>45</v>
      </c>
      <c r="C149" s="6"/>
      <c r="D149" s="11"/>
      <c r="E149" s="6" t="s">
        <v>19</v>
      </c>
      <c r="F149" s="6" t="s">
        <v>29</v>
      </c>
      <c r="G149" s="6" t="s">
        <v>34</v>
      </c>
      <c r="H149" s="6" t="s">
        <v>201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15.75" customHeight="1">
      <c r="A150" s="1">
        <v>149</v>
      </c>
      <c r="B150" s="6" t="s">
        <v>49</v>
      </c>
      <c r="C150" s="6"/>
      <c r="D150" s="11"/>
      <c r="E150" s="6" t="s">
        <v>20</v>
      </c>
      <c r="F150" s="6" t="s">
        <v>29</v>
      </c>
      <c r="G150" s="6" t="s">
        <v>27</v>
      </c>
      <c r="H150" s="6" t="s">
        <v>203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15.75" customHeight="1">
      <c r="A151" s="1">
        <v>150</v>
      </c>
      <c r="B151" s="6" t="s">
        <v>49</v>
      </c>
      <c r="C151" s="6"/>
      <c r="D151" s="11"/>
      <c r="E151" s="6" t="s">
        <v>19</v>
      </c>
      <c r="F151" s="6" t="s">
        <v>29</v>
      </c>
      <c r="G151" s="6" t="s">
        <v>34</v>
      </c>
      <c r="H151" s="6" t="s">
        <v>204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15.75" customHeight="1">
      <c r="A152" s="1">
        <v>151</v>
      </c>
      <c r="B152" s="6" t="s">
        <v>38</v>
      </c>
      <c r="C152" s="6"/>
      <c r="D152" s="11"/>
      <c r="E152" s="6" t="s">
        <v>39</v>
      </c>
      <c r="F152" s="6" t="s">
        <v>29</v>
      </c>
      <c r="G152" s="6" t="s">
        <v>30</v>
      </c>
      <c r="H152" s="6" t="s">
        <v>205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15.75" customHeight="1">
      <c r="A153" s="1">
        <v>152</v>
      </c>
      <c r="B153" s="6" t="s">
        <v>49</v>
      </c>
      <c r="C153" s="6"/>
      <c r="D153" s="11"/>
      <c r="E153" s="6" t="s">
        <v>20</v>
      </c>
      <c r="F153" s="6" t="s">
        <v>29</v>
      </c>
      <c r="G153" s="6" t="s">
        <v>30</v>
      </c>
      <c r="H153" s="6" t="s">
        <v>206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15.75" customHeight="1">
      <c r="A154" s="1">
        <v>153</v>
      </c>
      <c r="B154" s="6" t="s">
        <v>40</v>
      </c>
      <c r="C154" s="6"/>
      <c r="D154" s="11"/>
      <c r="E154" s="6"/>
      <c r="F154" s="6"/>
      <c r="G154" s="6"/>
      <c r="H154" s="6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15.75" customHeight="1">
      <c r="A155" s="1">
        <v>154</v>
      </c>
      <c r="B155" s="6" t="s">
        <v>38</v>
      </c>
      <c r="C155" s="6"/>
      <c r="D155" s="11"/>
      <c r="E155" s="6" t="s">
        <v>19</v>
      </c>
      <c r="F155" s="6" t="s">
        <v>29</v>
      </c>
      <c r="G155" s="6" t="s">
        <v>30</v>
      </c>
      <c r="H155" s="6" t="s">
        <v>207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15.75" customHeight="1">
      <c r="A156" s="1">
        <v>155</v>
      </c>
      <c r="B156" s="6" t="s">
        <v>31</v>
      </c>
      <c r="C156" s="6"/>
      <c r="D156" s="11"/>
      <c r="E156" s="6" t="s">
        <v>20</v>
      </c>
      <c r="F156" s="6" t="s">
        <v>29</v>
      </c>
      <c r="G156" s="6" t="s">
        <v>27</v>
      </c>
      <c r="H156" s="6" t="s">
        <v>143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15.75" customHeight="1">
      <c r="A157" s="1">
        <v>156</v>
      </c>
      <c r="B157" s="6" t="s">
        <v>18</v>
      </c>
      <c r="C157" s="6"/>
      <c r="D157" s="11"/>
      <c r="E157" s="6" t="s">
        <v>20</v>
      </c>
      <c r="F157" s="6" t="s">
        <v>29</v>
      </c>
      <c r="G157" s="6" t="s">
        <v>27</v>
      </c>
      <c r="H157" s="6" t="s">
        <v>208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15.75" customHeight="1">
      <c r="A158" s="1">
        <v>157</v>
      </c>
      <c r="B158" s="6" t="s">
        <v>42</v>
      </c>
      <c r="C158" s="6"/>
      <c r="D158" s="11"/>
      <c r="E158" s="6" t="s">
        <v>20</v>
      </c>
      <c r="F158" s="6" t="s">
        <v>29</v>
      </c>
      <c r="G158" s="6" t="s">
        <v>21</v>
      </c>
      <c r="H158" s="6" t="s">
        <v>209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15.75" customHeight="1">
      <c r="A159" s="1">
        <v>158</v>
      </c>
      <c r="B159" s="6" t="s">
        <v>18</v>
      </c>
      <c r="C159" s="6"/>
      <c r="D159" s="11"/>
      <c r="E159" s="6" t="s">
        <v>20</v>
      </c>
      <c r="F159" s="6" t="s">
        <v>29</v>
      </c>
      <c r="G159" s="6" t="s">
        <v>27</v>
      </c>
      <c r="H159" s="6" t="s">
        <v>208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15.75" customHeight="1">
      <c r="A160" s="1">
        <v>159</v>
      </c>
      <c r="B160" s="6" t="s">
        <v>31</v>
      </c>
      <c r="C160" s="6"/>
      <c r="D160" s="11"/>
      <c r="E160" s="6" t="s">
        <v>36</v>
      </c>
      <c r="F160" s="6" t="s">
        <v>29</v>
      </c>
      <c r="G160" s="6" t="s">
        <v>30</v>
      </c>
      <c r="H160" s="6" t="s">
        <v>210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15.75" customHeight="1">
      <c r="A161" s="1">
        <v>160</v>
      </c>
      <c r="B161" s="6" t="s">
        <v>51</v>
      </c>
      <c r="C161" s="6"/>
      <c r="D161" s="11"/>
      <c r="E161" s="6" t="s">
        <v>39</v>
      </c>
      <c r="F161" s="6" t="s">
        <v>29</v>
      </c>
      <c r="G161" s="6" t="s">
        <v>30</v>
      </c>
      <c r="H161" s="6" t="s">
        <v>211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15.75" customHeight="1">
      <c r="A162" s="1">
        <v>161</v>
      </c>
      <c r="B162" s="6" t="s">
        <v>45</v>
      </c>
      <c r="C162" s="6"/>
      <c r="D162" s="11"/>
      <c r="E162" s="6" t="s">
        <v>19</v>
      </c>
      <c r="F162" s="6" t="s">
        <v>29</v>
      </c>
      <c r="G162" s="6" t="s">
        <v>34</v>
      </c>
      <c r="H162" s="6" t="s">
        <v>212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15.75" customHeight="1">
      <c r="A163" s="1">
        <v>162</v>
      </c>
      <c r="B163" s="6" t="s">
        <v>38</v>
      </c>
      <c r="C163" s="6"/>
      <c r="D163" s="11"/>
      <c r="E163" s="6" t="s">
        <v>36</v>
      </c>
      <c r="F163" s="6" t="s">
        <v>29</v>
      </c>
      <c r="G163" s="6" t="s">
        <v>30</v>
      </c>
      <c r="H163" s="6" t="s">
        <v>207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15.75" customHeight="1">
      <c r="A164" s="1">
        <v>163</v>
      </c>
      <c r="B164" s="6" t="s">
        <v>51</v>
      </c>
      <c r="C164" s="6"/>
      <c r="D164" s="11"/>
      <c r="E164" s="6" t="s">
        <v>39</v>
      </c>
      <c r="F164" s="6" t="s">
        <v>29</v>
      </c>
      <c r="G164" s="6" t="s">
        <v>30</v>
      </c>
      <c r="H164" s="6" t="s">
        <v>211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15.75" customHeight="1">
      <c r="A165" s="1">
        <v>164</v>
      </c>
      <c r="B165" s="6" t="s">
        <v>49</v>
      </c>
      <c r="C165" s="6"/>
      <c r="D165" s="11"/>
      <c r="E165" s="6" t="s">
        <v>19</v>
      </c>
      <c r="F165" s="6" t="s">
        <v>29</v>
      </c>
      <c r="G165" s="6" t="s">
        <v>30</v>
      </c>
      <c r="H165" s="6" t="s">
        <v>213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15.75" customHeight="1">
      <c r="A166" s="1">
        <v>165</v>
      </c>
      <c r="B166" s="6" t="s">
        <v>49</v>
      </c>
      <c r="C166" s="6"/>
      <c r="D166" s="11"/>
      <c r="E166" s="6" t="s">
        <v>19</v>
      </c>
      <c r="F166" s="6" t="s">
        <v>29</v>
      </c>
      <c r="G166" s="6" t="s">
        <v>30</v>
      </c>
      <c r="H166" s="6" t="s">
        <v>214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15.75" customHeight="1">
      <c r="A167" s="1">
        <v>166</v>
      </c>
      <c r="B167" s="6" t="s">
        <v>44</v>
      </c>
      <c r="C167" s="6"/>
      <c r="D167" s="11"/>
      <c r="E167" s="6" t="s">
        <v>20</v>
      </c>
      <c r="F167" s="6" t="s">
        <v>29</v>
      </c>
      <c r="G167" s="6" t="s">
        <v>21</v>
      </c>
      <c r="H167" s="6" t="s">
        <v>215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15.75" customHeight="1">
      <c r="A168" s="1">
        <v>167</v>
      </c>
      <c r="B168" s="6" t="s">
        <v>28</v>
      </c>
      <c r="C168" s="6"/>
      <c r="D168" s="11"/>
      <c r="E168" s="6" t="s">
        <v>20</v>
      </c>
      <c r="F168" s="6" t="s">
        <v>29</v>
      </c>
      <c r="G168" s="6" t="s">
        <v>97</v>
      </c>
      <c r="H168" s="6" t="s">
        <v>164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15.75" customHeight="1">
      <c r="A169" s="1">
        <v>168</v>
      </c>
      <c r="B169" s="6" t="s">
        <v>51</v>
      </c>
      <c r="C169" s="6"/>
      <c r="D169" s="11"/>
      <c r="E169" s="6" t="s">
        <v>39</v>
      </c>
      <c r="F169" s="6" t="s">
        <v>29</v>
      </c>
      <c r="G169" s="6" t="s">
        <v>30</v>
      </c>
      <c r="H169" s="6" t="s">
        <v>211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15.75" customHeight="1">
      <c r="A170" s="1">
        <v>169</v>
      </c>
      <c r="B170" s="6" t="s">
        <v>44</v>
      </c>
      <c r="C170" s="6"/>
      <c r="D170" s="11"/>
      <c r="E170" s="6" t="s">
        <v>20</v>
      </c>
      <c r="F170" s="6" t="s">
        <v>29</v>
      </c>
      <c r="G170" s="6" t="s">
        <v>30</v>
      </c>
      <c r="H170" s="6" t="s">
        <v>216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15.75" customHeight="1">
      <c r="A171" s="1">
        <v>170</v>
      </c>
      <c r="B171" s="6" t="s">
        <v>41</v>
      </c>
      <c r="C171" s="6"/>
      <c r="D171" s="11"/>
      <c r="E171" s="6" t="s">
        <v>26</v>
      </c>
      <c r="F171" s="6" t="s">
        <v>29</v>
      </c>
      <c r="G171" s="6" t="s">
        <v>21</v>
      </c>
      <c r="H171" s="6" t="s">
        <v>217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15.75" customHeight="1">
      <c r="A172" s="1">
        <v>171</v>
      </c>
      <c r="B172" s="6" t="s">
        <v>49</v>
      </c>
      <c r="C172" s="6"/>
      <c r="D172" s="11"/>
      <c r="E172" s="6" t="s">
        <v>39</v>
      </c>
      <c r="F172" s="6" t="s">
        <v>29</v>
      </c>
      <c r="G172" s="6" t="s">
        <v>30</v>
      </c>
      <c r="H172" s="6" t="s">
        <v>218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15.75" customHeight="1">
      <c r="A173" s="1">
        <v>172</v>
      </c>
      <c r="B173" s="6" t="s">
        <v>18</v>
      </c>
      <c r="C173" s="6"/>
      <c r="D173" s="11"/>
      <c r="E173" s="6" t="s">
        <v>19</v>
      </c>
      <c r="F173" s="6" t="s">
        <v>20</v>
      </c>
      <c r="G173" s="6" t="s">
        <v>30</v>
      </c>
      <c r="H173" s="34" t="s">
        <v>152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15.75" customHeight="1">
      <c r="A174" s="1">
        <v>173</v>
      </c>
      <c r="B174" s="6" t="s">
        <v>40</v>
      </c>
      <c r="C174" s="6"/>
      <c r="D174" s="11"/>
      <c r="E174" s="6"/>
      <c r="F174" s="6"/>
      <c r="G174" s="6"/>
      <c r="H174" s="6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15.75" customHeight="1">
      <c r="A175" s="1">
        <v>174</v>
      </c>
      <c r="B175" s="6" t="s">
        <v>18</v>
      </c>
      <c r="C175" s="6"/>
      <c r="D175" s="11"/>
      <c r="E175" s="6" t="s">
        <v>20</v>
      </c>
      <c r="F175" s="6" t="s">
        <v>29</v>
      </c>
      <c r="G175" s="6" t="s">
        <v>27</v>
      </c>
      <c r="H175" s="6" t="s">
        <v>219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15.75" customHeight="1">
      <c r="A176" s="1">
        <v>175</v>
      </c>
      <c r="B176" s="6" t="s">
        <v>42</v>
      </c>
      <c r="C176" s="6"/>
      <c r="D176" s="11"/>
      <c r="E176" s="6" t="s">
        <v>39</v>
      </c>
      <c r="F176" s="6" t="s">
        <v>20</v>
      </c>
      <c r="G176" s="6"/>
      <c r="H176" s="6" t="s">
        <v>220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15.75" customHeight="1">
      <c r="A177" s="1">
        <v>176</v>
      </c>
      <c r="B177" s="6" t="s">
        <v>31</v>
      </c>
      <c r="C177" s="6"/>
      <c r="D177" s="11"/>
      <c r="E177" s="6" t="s">
        <v>26</v>
      </c>
      <c r="F177" s="6" t="s">
        <v>29</v>
      </c>
      <c r="G177" s="6" t="s">
        <v>27</v>
      </c>
      <c r="H177" s="6" t="s">
        <v>221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15.75" customHeight="1">
      <c r="A178" s="1">
        <v>177</v>
      </c>
      <c r="B178" s="6" t="s">
        <v>41</v>
      </c>
      <c r="C178" s="6"/>
      <c r="D178" s="11"/>
      <c r="E178" s="6" t="s">
        <v>20</v>
      </c>
      <c r="F178" s="6" t="s">
        <v>29</v>
      </c>
      <c r="G178" s="6" t="s">
        <v>21</v>
      </c>
      <c r="H178" s="6" t="s">
        <v>222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15.75" customHeight="1">
      <c r="A179" s="1">
        <v>178</v>
      </c>
      <c r="B179" s="6" t="s">
        <v>51</v>
      </c>
      <c r="C179" s="6"/>
      <c r="D179" s="11"/>
      <c r="E179" s="6" t="s">
        <v>20</v>
      </c>
      <c r="F179" s="6" t="s">
        <v>29</v>
      </c>
      <c r="G179" s="6" t="s">
        <v>30</v>
      </c>
      <c r="H179" s="6" t="s">
        <v>211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15.75" customHeight="1">
      <c r="A180" s="1">
        <v>179</v>
      </c>
      <c r="B180" s="6" t="s">
        <v>38</v>
      </c>
      <c r="C180" s="6"/>
      <c r="D180" s="11"/>
      <c r="E180" s="6" t="s">
        <v>20</v>
      </c>
      <c r="F180" s="6" t="s">
        <v>29</v>
      </c>
      <c r="G180" s="6" t="s">
        <v>30</v>
      </c>
      <c r="H180" s="6" t="s">
        <v>223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15.75" customHeight="1">
      <c r="A181" s="1">
        <v>180</v>
      </c>
      <c r="B181" s="6" t="s">
        <v>40</v>
      </c>
      <c r="C181" s="6"/>
      <c r="D181" s="11"/>
      <c r="E181" s="6"/>
      <c r="F181" s="6"/>
      <c r="G181" s="6"/>
      <c r="H181" s="6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15.75" customHeight="1">
      <c r="A182" s="1">
        <v>181</v>
      </c>
      <c r="B182" s="6" t="s">
        <v>51</v>
      </c>
      <c r="C182" s="6"/>
      <c r="D182" s="11"/>
      <c r="E182" s="6" t="s">
        <v>20</v>
      </c>
      <c r="F182" s="6" t="s">
        <v>29</v>
      </c>
      <c r="G182" s="6" t="s">
        <v>30</v>
      </c>
      <c r="H182" s="6" t="s">
        <v>211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15.75" customHeight="1">
      <c r="A183" s="1">
        <v>182</v>
      </c>
      <c r="B183" s="6" t="s">
        <v>18</v>
      </c>
      <c r="C183" s="6"/>
      <c r="D183" s="11"/>
      <c r="E183" s="6" t="s">
        <v>39</v>
      </c>
      <c r="F183" s="6" t="s">
        <v>29</v>
      </c>
      <c r="G183" s="6" t="s">
        <v>27</v>
      </c>
      <c r="H183" s="6" t="s">
        <v>224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15.75" customHeight="1">
      <c r="A184" s="1">
        <v>183</v>
      </c>
      <c r="B184" s="6" t="s">
        <v>38</v>
      </c>
      <c r="C184" s="6"/>
      <c r="D184" s="11"/>
      <c r="E184" s="6" t="s">
        <v>20</v>
      </c>
      <c r="F184" s="6" t="s">
        <v>29</v>
      </c>
      <c r="G184" s="6" t="s">
        <v>27</v>
      </c>
      <c r="H184" s="6" t="s">
        <v>225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15.75" customHeight="1">
      <c r="A185" s="1">
        <v>184</v>
      </c>
      <c r="B185" s="6" t="s">
        <v>51</v>
      </c>
      <c r="C185" s="6"/>
      <c r="D185" s="11"/>
      <c r="E185" s="6" t="s">
        <v>20</v>
      </c>
      <c r="F185" s="6" t="s">
        <v>29</v>
      </c>
      <c r="G185" s="6" t="s">
        <v>30</v>
      </c>
      <c r="H185" s="6" t="s">
        <v>211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15.75" customHeight="1">
      <c r="A186" s="1">
        <v>185</v>
      </c>
      <c r="B186" s="6" t="s">
        <v>51</v>
      </c>
      <c r="C186" s="6"/>
      <c r="D186" s="11"/>
      <c r="E186" s="6" t="s">
        <v>39</v>
      </c>
      <c r="F186" s="6" t="s">
        <v>29</v>
      </c>
      <c r="G186" s="6" t="s">
        <v>30</v>
      </c>
      <c r="H186" s="6" t="s">
        <v>226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15.75" customHeight="1">
      <c r="A187" s="1">
        <v>186</v>
      </c>
      <c r="B187" s="6" t="s">
        <v>40</v>
      </c>
      <c r="C187" s="6"/>
      <c r="D187" s="11"/>
      <c r="E187" s="6"/>
      <c r="F187" s="6"/>
      <c r="G187" s="6"/>
      <c r="H187" s="6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15.75" customHeight="1">
      <c r="A188" s="1">
        <v>187</v>
      </c>
      <c r="B188" s="6" t="s">
        <v>41</v>
      </c>
      <c r="C188" s="6"/>
      <c r="D188" s="11"/>
      <c r="E188" s="6" t="s">
        <v>20</v>
      </c>
      <c r="F188" s="6" t="s">
        <v>29</v>
      </c>
      <c r="G188" s="6" t="s">
        <v>23</v>
      </c>
      <c r="H188" s="6" t="s">
        <v>227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15.75" customHeight="1">
      <c r="A189" s="1">
        <v>188</v>
      </c>
      <c r="B189" s="6" t="s">
        <v>41</v>
      </c>
      <c r="C189" s="6"/>
      <c r="D189" s="11"/>
      <c r="E189" s="6" t="s">
        <v>36</v>
      </c>
      <c r="F189" s="6" t="s">
        <v>20</v>
      </c>
      <c r="G189" s="6" t="s">
        <v>30</v>
      </c>
      <c r="H189" s="6" t="s">
        <v>228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15.75" customHeight="1">
      <c r="A190" s="1">
        <v>189</v>
      </c>
      <c r="B190" s="6" t="s">
        <v>38</v>
      </c>
      <c r="C190" s="6"/>
      <c r="D190" s="11"/>
      <c r="E190" s="6" t="s">
        <v>20</v>
      </c>
      <c r="F190" s="6" t="s">
        <v>29</v>
      </c>
      <c r="G190" s="6" t="s">
        <v>30</v>
      </c>
      <c r="H190" s="6" t="s">
        <v>223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15.75" customHeight="1">
      <c r="A191" s="1">
        <v>190</v>
      </c>
      <c r="B191" s="6" t="s">
        <v>51</v>
      </c>
      <c r="C191" s="6"/>
      <c r="D191" s="11"/>
      <c r="E191" s="6" t="s">
        <v>20</v>
      </c>
      <c r="F191" s="6" t="s">
        <v>29</v>
      </c>
      <c r="G191" s="6" t="s">
        <v>30</v>
      </c>
      <c r="H191" s="6" t="s">
        <v>211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15.75" customHeight="1">
      <c r="A192" s="1">
        <v>191</v>
      </c>
      <c r="B192" s="6" t="s">
        <v>41</v>
      </c>
      <c r="C192" s="6"/>
      <c r="D192" s="11"/>
      <c r="E192" s="6" t="s">
        <v>20</v>
      </c>
      <c r="F192" s="6" t="s">
        <v>29</v>
      </c>
      <c r="G192" s="6" t="s">
        <v>30</v>
      </c>
      <c r="H192" s="6" t="s">
        <v>228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15.75" customHeight="1">
      <c r="A193" s="1">
        <v>192</v>
      </c>
      <c r="B193" s="6" t="s">
        <v>40</v>
      </c>
      <c r="C193" s="6"/>
      <c r="D193" s="11"/>
      <c r="E193" s="6"/>
      <c r="F193" s="6"/>
      <c r="G193" s="6"/>
      <c r="H193" s="6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15.75" customHeight="1">
      <c r="A194" s="1">
        <v>193</v>
      </c>
      <c r="B194" s="6" t="s">
        <v>18</v>
      </c>
      <c r="C194" s="6"/>
      <c r="D194" s="11"/>
      <c r="E194" s="6" t="s">
        <v>36</v>
      </c>
      <c r="F194" s="6" t="s">
        <v>20</v>
      </c>
      <c r="G194" s="6" t="s">
        <v>30</v>
      </c>
      <c r="H194" s="6" t="s">
        <v>229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15.75" customHeight="1">
      <c r="A195" s="1">
        <v>194</v>
      </c>
      <c r="B195" s="6" t="s">
        <v>38</v>
      </c>
      <c r="C195" s="6"/>
      <c r="D195" s="11"/>
      <c r="E195" s="6" t="s">
        <v>20</v>
      </c>
      <c r="F195" s="6" t="s">
        <v>29</v>
      </c>
      <c r="G195" s="6" t="s">
        <v>30</v>
      </c>
      <c r="H195" s="6" t="s">
        <v>223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15.75" customHeight="1">
      <c r="A196" s="1">
        <v>195</v>
      </c>
      <c r="B196" s="6" t="s">
        <v>45</v>
      </c>
      <c r="C196" s="6"/>
      <c r="D196" s="11"/>
      <c r="E196" s="6" t="s">
        <v>20</v>
      </c>
      <c r="F196" s="6" t="s">
        <v>29</v>
      </c>
      <c r="G196" s="6" t="s">
        <v>30</v>
      </c>
      <c r="H196" s="6" t="s">
        <v>230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15.75" customHeight="1">
      <c r="A197" s="1">
        <v>196</v>
      </c>
      <c r="B197" s="6" t="s">
        <v>49</v>
      </c>
      <c r="C197" s="6"/>
      <c r="D197" s="11"/>
      <c r="E197" s="6" t="s">
        <v>19</v>
      </c>
      <c r="F197" s="6" t="s">
        <v>29</v>
      </c>
      <c r="G197" s="6" t="s">
        <v>30</v>
      </c>
      <c r="H197" s="6" t="s">
        <v>142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15.75" customHeight="1">
      <c r="A198" s="1">
        <v>197</v>
      </c>
      <c r="B198" s="6" t="s">
        <v>38</v>
      </c>
      <c r="C198" s="6"/>
      <c r="D198" s="11"/>
      <c r="E198" s="6" t="s">
        <v>20</v>
      </c>
      <c r="F198" s="6" t="s">
        <v>29</v>
      </c>
      <c r="G198" s="6" t="s">
        <v>27</v>
      </c>
      <c r="H198" s="6" t="s">
        <v>223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15.75" customHeight="1">
      <c r="A199" s="1">
        <v>198</v>
      </c>
      <c r="B199" s="6" t="s">
        <v>51</v>
      </c>
      <c r="C199" s="6"/>
      <c r="D199" s="11"/>
      <c r="E199" s="6" t="s">
        <v>20</v>
      </c>
      <c r="F199" s="6" t="s">
        <v>29</v>
      </c>
      <c r="G199" s="6" t="s">
        <v>30</v>
      </c>
      <c r="H199" s="6" t="s">
        <v>211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15.75" customHeight="1">
      <c r="A200" s="1">
        <v>199</v>
      </c>
      <c r="B200" s="6" t="s">
        <v>18</v>
      </c>
      <c r="C200" s="6"/>
      <c r="D200" s="11"/>
      <c r="E200" s="6" t="s">
        <v>36</v>
      </c>
      <c r="F200" s="6" t="s">
        <v>20</v>
      </c>
      <c r="G200" s="6" t="s">
        <v>30</v>
      </c>
      <c r="H200" s="6" t="s">
        <v>229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15.75" customHeight="1">
      <c r="A201" s="1">
        <v>200</v>
      </c>
      <c r="B201" s="6" t="s">
        <v>38</v>
      </c>
      <c r="C201" s="6"/>
      <c r="D201" s="11"/>
      <c r="E201" s="6" t="s">
        <v>20</v>
      </c>
      <c r="F201" s="6" t="s">
        <v>29</v>
      </c>
      <c r="G201" s="6" t="s">
        <v>27</v>
      </c>
      <c r="H201" s="6" t="s">
        <v>223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15.75" customHeight="1">
      <c r="A202" s="1">
        <v>201</v>
      </c>
      <c r="B202" s="6"/>
      <c r="C202" s="6"/>
      <c r="D202" s="11"/>
      <c r="E202" s="6"/>
      <c r="F202" s="6"/>
      <c r="G202" s="6"/>
      <c r="H202" s="6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15.75" customHeight="1">
      <c r="A203" s="1">
        <v>202</v>
      </c>
      <c r="B203" s="6"/>
      <c r="C203" s="6"/>
      <c r="D203" s="11"/>
      <c r="E203" s="6"/>
      <c r="F203" s="6"/>
      <c r="G203" s="6"/>
      <c r="H203" s="6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15.75" customHeight="1">
      <c r="A204" s="1">
        <v>203</v>
      </c>
      <c r="B204" s="6"/>
      <c r="C204" s="6"/>
      <c r="D204" s="11"/>
      <c r="E204" s="6"/>
      <c r="F204" s="6"/>
      <c r="G204" s="6"/>
      <c r="H204" s="6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15.75" customHeight="1">
      <c r="A205" s="1">
        <v>204</v>
      </c>
      <c r="B205" s="6"/>
      <c r="C205" s="6"/>
      <c r="D205" s="11"/>
      <c r="E205" s="6"/>
      <c r="F205" s="6"/>
      <c r="G205" s="6"/>
      <c r="H205" s="6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15.75" customHeight="1">
      <c r="A206" s="1">
        <v>205</v>
      </c>
      <c r="B206" s="6"/>
      <c r="C206" s="6"/>
      <c r="D206" s="11"/>
      <c r="E206" s="6"/>
      <c r="F206" s="6"/>
      <c r="G206" s="6"/>
      <c r="H206" s="6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15.75" customHeight="1">
      <c r="A207" s="1">
        <v>206</v>
      </c>
      <c r="B207" s="6"/>
      <c r="C207" s="6"/>
      <c r="D207" s="11"/>
      <c r="E207" s="6"/>
      <c r="F207" s="6"/>
      <c r="G207" s="6"/>
      <c r="H207" s="6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15.75" customHeight="1">
      <c r="A208" s="1">
        <v>207</v>
      </c>
      <c r="B208" s="6"/>
      <c r="C208" s="6"/>
      <c r="D208" s="11"/>
      <c r="E208" s="6"/>
      <c r="F208" s="6"/>
      <c r="G208" s="6"/>
      <c r="H208" s="6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15.75" customHeight="1">
      <c r="A209" s="1">
        <v>208</v>
      </c>
      <c r="B209" s="6"/>
      <c r="C209" s="6"/>
      <c r="D209" s="11"/>
      <c r="E209" s="6"/>
      <c r="F209" s="6"/>
      <c r="G209" s="6"/>
      <c r="H209" s="6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15.75" customHeight="1">
      <c r="A210" s="1">
        <v>209</v>
      </c>
      <c r="B210" s="6"/>
      <c r="C210" s="6"/>
      <c r="D210" s="11"/>
      <c r="E210" s="6"/>
      <c r="F210" s="6"/>
      <c r="G210" s="6"/>
      <c r="H210" s="6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15.75" customHeight="1">
      <c r="A211" s="1">
        <v>210</v>
      </c>
      <c r="B211" s="6"/>
      <c r="C211" s="6"/>
      <c r="D211" s="11"/>
      <c r="E211" s="6"/>
      <c r="F211" s="6"/>
      <c r="G211" s="6"/>
      <c r="H211" s="6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15.75" customHeight="1">
      <c r="A212" s="1">
        <v>211</v>
      </c>
      <c r="B212" s="6"/>
      <c r="C212" s="6"/>
      <c r="D212" s="11"/>
      <c r="E212" s="6"/>
      <c r="F212" s="6"/>
      <c r="G212" s="6"/>
      <c r="H212" s="6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15.75" customHeight="1">
      <c r="A213" s="1">
        <v>212</v>
      </c>
      <c r="B213" s="6"/>
      <c r="C213" s="6"/>
      <c r="D213" s="11"/>
      <c r="E213" s="6"/>
      <c r="F213" s="6"/>
      <c r="G213" s="6"/>
      <c r="H213" s="6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15.75" customHeight="1">
      <c r="A214" s="1">
        <v>213</v>
      </c>
      <c r="B214" s="6"/>
      <c r="C214" s="6"/>
      <c r="D214" s="11"/>
      <c r="E214" s="6"/>
      <c r="F214" s="6"/>
      <c r="G214" s="6"/>
      <c r="H214" s="6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15.75" customHeight="1">
      <c r="A215" s="1">
        <v>214</v>
      </c>
      <c r="B215" s="6"/>
      <c r="C215" s="6"/>
      <c r="D215" s="11"/>
      <c r="E215" s="6"/>
      <c r="F215" s="6"/>
      <c r="G215" s="6"/>
      <c r="H215" s="6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15.75" customHeight="1">
      <c r="A216" s="1">
        <v>215</v>
      </c>
      <c r="B216" s="6"/>
      <c r="C216" s="6"/>
      <c r="D216" s="11"/>
      <c r="E216" s="6"/>
      <c r="F216" s="6"/>
      <c r="G216" s="6"/>
      <c r="H216" s="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15.75" customHeight="1">
      <c r="A217" s="1">
        <v>216</v>
      </c>
      <c r="B217" s="6"/>
      <c r="C217" s="6"/>
      <c r="D217" s="11"/>
      <c r="E217" s="6"/>
      <c r="F217" s="6"/>
      <c r="G217" s="6"/>
      <c r="H217" s="6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15.75" customHeight="1">
      <c r="A218" s="1">
        <v>217</v>
      </c>
      <c r="B218" s="6"/>
      <c r="C218" s="6"/>
      <c r="D218" s="11"/>
      <c r="E218" s="6"/>
      <c r="F218" s="6"/>
      <c r="G218" s="6"/>
      <c r="H218" s="6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15.75" customHeight="1">
      <c r="A219" s="1">
        <v>218</v>
      </c>
      <c r="B219" s="6"/>
      <c r="C219" s="6"/>
      <c r="D219" s="11"/>
      <c r="E219" s="6"/>
      <c r="F219" s="6"/>
      <c r="G219" s="6"/>
      <c r="H219" s="6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15.75" customHeight="1">
      <c r="A220" s="1">
        <v>219</v>
      </c>
      <c r="B220" s="6"/>
      <c r="C220" s="6"/>
      <c r="D220" s="11"/>
      <c r="E220" s="6"/>
      <c r="F220" s="6"/>
      <c r="G220" s="6"/>
      <c r="H220" s="6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15.75" customHeight="1">
      <c r="A221" s="1">
        <v>220</v>
      </c>
      <c r="B221" s="6"/>
      <c r="C221" s="6"/>
      <c r="D221" s="11"/>
      <c r="E221" s="6"/>
      <c r="F221" s="6"/>
      <c r="G221" s="6"/>
      <c r="H221" s="6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15.75" customHeight="1">
      <c r="A222" s="1">
        <v>221</v>
      </c>
      <c r="B222" s="6"/>
      <c r="C222" s="6"/>
      <c r="D222" s="11"/>
      <c r="E222" s="6"/>
      <c r="F222" s="6"/>
      <c r="G222" s="6"/>
      <c r="H222" s="6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15.75" customHeight="1">
      <c r="A223" s="1">
        <v>222</v>
      </c>
      <c r="B223" s="6"/>
      <c r="C223" s="6"/>
      <c r="D223" s="11"/>
      <c r="E223" s="6"/>
      <c r="F223" s="6"/>
      <c r="G223" s="6"/>
      <c r="H223" s="6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15.75" customHeight="1">
      <c r="A224" s="1">
        <v>223</v>
      </c>
      <c r="B224" s="6"/>
      <c r="C224" s="6"/>
      <c r="D224" s="11"/>
      <c r="E224" s="6"/>
      <c r="F224" s="6"/>
      <c r="G224" s="6"/>
      <c r="H224" s="6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15.75" customHeight="1">
      <c r="A225" s="1">
        <v>224</v>
      </c>
      <c r="B225" s="6"/>
      <c r="C225" s="6"/>
      <c r="D225" s="11"/>
      <c r="E225" s="6"/>
      <c r="F225" s="6"/>
      <c r="G225" s="6"/>
      <c r="H225" s="6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15.75" customHeight="1">
      <c r="A226" s="1">
        <v>225</v>
      </c>
      <c r="B226" s="6"/>
      <c r="C226" s="6"/>
      <c r="D226" s="11"/>
      <c r="E226" s="6"/>
      <c r="F226" s="6"/>
      <c r="G226" s="6"/>
      <c r="H226" s="6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15.75" customHeight="1">
      <c r="A227" s="1">
        <v>226</v>
      </c>
      <c r="B227" s="6"/>
      <c r="C227" s="6"/>
      <c r="D227" s="11"/>
      <c r="E227" s="6"/>
      <c r="F227" s="6"/>
      <c r="G227" s="6"/>
      <c r="H227" s="6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15.75" customHeight="1">
      <c r="A228" s="1">
        <v>227</v>
      </c>
      <c r="B228" s="6"/>
      <c r="C228" s="6"/>
      <c r="D228" s="11"/>
      <c r="E228" s="6"/>
      <c r="F228" s="6"/>
      <c r="G228" s="6"/>
      <c r="H228" s="6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15.75" customHeight="1">
      <c r="A229" s="1">
        <v>228</v>
      </c>
      <c r="B229" s="6"/>
      <c r="C229" s="6"/>
      <c r="D229" s="11"/>
      <c r="E229" s="6"/>
      <c r="F229" s="6"/>
      <c r="G229" s="6"/>
      <c r="H229" s="6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ht="15.75" customHeight="1">
      <c r="A230" s="1">
        <v>229</v>
      </c>
      <c r="B230" s="6"/>
      <c r="C230" s="6"/>
      <c r="D230" s="11"/>
      <c r="E230" s="6"/>
      <c r="F230" s="6"/>
      <c r="G230" s="6"/>
      <c r="H230" s="6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ht="15.75" customHeight="1">
      <c r="A231" s="1">
        <v>230</v>
      </c>
      <c r="B231" s="6"/>
      <c r="C231" s="6"/>
      <c r="D231" s="11"/>
      <c r="E231" s="6"/>
      <c r="F231" s="6"/>
      <c r="G231" s="6"/>
      <c r="H231" s="6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ht="15.75" customHeight="1">
      <c r="A232" s="1">
        <v>231</v>
      </c>
      <c r="B232" s="6"/>
      <c r="C232" s="6"/>
      <c r="D232" s="11"/>
      <c r="E232" s="6"/>
      <c r="F232" s="6"/>
      <c r="G232" s="6"/>
      <c r="H232" s="6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ht="15.75" customHeight="1">
      <c r="A233" s="1">
        <v>232</v>
      </c>
      <c r="B233" s="6"/>
      <c r="C233" s="6"/>
      <c r="D233" s="11"/>
      <c r="E233" s="6"/>
      <c r="F233" s="6"/>
      <c r="G233" s="6"/>
      <c r="H233" s="6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ht="15.75" customHeight="1">
      <c r="A234" s="1">
        <v>233</v>
      </c>
      <c r="B234" s="6"/>
      <c r="C234" s="6"/>
      <c r="D234" s="11"/>
      <c r="E234" s="6"/>
      <c r="F234" s="6"/>
      <c r="G234" s="6"/>
      <c r="H234" s="6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ht="15.75" customHeight="1">
      <c r="A235" s="1">
        <v>234</v>
      </c>
      <c r="B235" s="6"/>
      <c r="C235" s="6"/>
      <c r="D235" s="11"/>
      <c r="E235" s="6"/>
      <c r="F235" s="6"/>
      <c r="G235" s="6"/>
      <c r="H235" s="6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ht="15.75" customHeight="1">
      <c r="A236" s="1">
        <v>235</v>
      </c>
      <c r="B236" s="6"/>
      <c r="C236" s="6"/>
      <c r="D236" s="11"/>
      <c r="E236" s="6"/>
      <c r="F236" s="6"/>
      <c r="G236" s="6"/>
      <c r="H236" s="6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ht="15.75" customHeight="1">
      <c r="A237" s="1">
        <v>236</v>
      </c>
      <c r="B237" s="6"/>
      <c r="C237" s="6"/>
      <c r="D237" s="11"/>
      <c r="E237" s="6"/>
      <c r="F237" s="6"/>
      <c r="G237" s="6"/>
      <c r="H237" s="6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15.75" customHeight="1">
      <c r="A238" s="1">
        <v>237</v>
      </c>
      <c r="B238" s="6"/>
      <c r="C238" s="6"/>
      <c r="D238" s="11"/>
      <c r="E238" s="6"/>
      <c r="F238" s="6"/>
      <c r="G238" s="6"/>
      <c r="H238" s="6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15.75" customHeight="1">
      <c r="A239" s="1">
        <v>238</v>
      </c>
      <c r="B239" s="6"/>
      <c r="C239" s="6"/>
      <c r="D239" s="11"/>
      <c r="E239" s="6"/>
      <c r="F239" s="6"/>
      <c r="G239" s="6"/>
      <c r="H239" s="6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15.75" customHeight="1">
      <c r="A240" s="1">
        <v>239</v>
      </c>
      <c r="B240" s="6"/>
      <c r="C240" s="6"/>
      <c r="D240" s="11"/>
      <c r="E240" s="6"/>
      <c r="F240" s="6"/>
      <c r="G240" s="6"/>
      <c r="H240" s="6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15.75" customHeight="1">
      <c r="A241" s="1">
        <v>240</v>
      </c>
      <c r="B241" s="6"/>
      <c r="C241" s="6"/>
      <c r="D241" s="11"/>
      <c r="E241" s="6"/>
      <c r="F241" s="6"/>
      <c r="G241" s="6"/>
      <c r="H241" s="6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15.75" customHeight="1">
      <c r="A242" s="1">
        <v>241</v>
      </c>
      <c r="B242" s="6"/>
      <c r="C242" s="6"/>
      <c r="D242" s="11"/>
      <c r="E242" s="6"/>
      <c r="F242" s="6"/>
      <c r="G242" s="6"/>
      <c r="H242" s="6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15.75" customHeight="1">
      <c r="A243" s="1">
        <v>242</v>
      </c>
      <c r="B243" s="6"/>
      <c r="C243" s="6"/>
      <c r="D243" s="11"/>
      <c r="E243" s="6"/>
      <c r="F243" s="6"/>
      <c r="G243" s="6"/>
      <c r="H243" s="6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15.75" customHeight="1">
      <c r="A244" s="1">
        <v>243</v>
      </c>
      <c r="B244" s="6"/>
      <c r="C244" s="6"/>
      <c r="D244" s="11"/>
      <c r="E244" s="6"/>
      <c r="F244" s="6"/>
      <c r="G244" s="6"/>
      <c r="H244" s="6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15.75" customHeight="1">
      <c r="A245" s="1">
        <v>244</v>
      </c>
      <c r="B245" s="6"/>
      <c r="C245" s="6"/>
      <c r="D245" s="11"/>
      <c r="E245" s="6"/>
      <c r="F245" s="6"/>
      <c r="G245" s="6"/>
      <c r="H245" s="6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15.75" customHeight="1">
      <c r="A246" s="1">
        <v>245</v>
      </c>
      <c r="B246" s="6"/>
      <c r="C246" s="6"/>
      <c r="D246" s="11"/>
      <c r="E246" s="6"/>
      <c r="F246" s="6"/>
      <c r="G246" s="6"/>
      <c r="H246" s="6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15.75" customHeight="1">
      <c r="A247" s="1">
        <v>246</v>
      </c>
      <c r="B247" s="6"/>
      <c r="C247" s="6"/>
      <c r="D247" s="11"/>
      <c r="E247" s="6"/>
      <c r="F247" s="6"/>
      <c r="G247" s="6"/>
      <c r="H247" s="6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15.75" customHeight="1">
      <c r="A248" s="1">
        <v>247</v>
      </c>
      <c r="B248" s="6"/>
      <c r="C248" s="6"/>
      <c r="D248" s="11"/>
      <c r="E248" s="6"/>
      <c r="F248" s="6"/>
      <c r="G248" s="6"/>
      <c r="H248" s="6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15.75" customHeight="1">
      <c r="A249" s="1">
        <v>248</v>
      </c>
      <c r="B249" s="6"/>
      <c r="C249" s="6"/>
      <c r="D249" s="11"/>
      <c r="E249" s="6"/>
      <c r="F249" s="6"/>
      <c r="G249" s="6"/>
      <c r="H249" s="6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15.75" customHeight="1">
      <c r="A250" s="1">
        <v>249</v>
      </c>
      <c r="B250" s="6"/>
      <c r="C250" s="6"/>
      <c r="D250" s="11"/>
      <c r="E250" s="6"/>
      <c r="F250" s="6"/>
      <c r="G250" s="6"/>
      <c r="H250" s="6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15.75" customHeight="1">
      <c r="A251" s="1">
        <v>250</v>
      </c>
      <c r="B251" s="6"/>
      <c r="C251" s="6"/>
      <c r="D251" s="11"/>
      <c r="E251" s="6"/>
      <c r="F251" s="6"/>
      <c r="G251" s="6"/>
      <c r="H251" s="6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ht="15.75" customHeight="1">
      <c r="A252" s="1">
        <v>251</v>
      </c>
      <c r="B252" s="6"/>
      <c r="C252" s="6"/>
      <c r="D252" s="11"/>
      <c r="E252" s="6"/>
      <c r="F252" s="6"/>
      <c r="G252" s="6"/>
      <c r="H252" s="6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ht="15.75" customHeight="1">
      <c r="A253" s="1">
        <v>252</v>
      </c>
      <c r="B253" s="6"/>
      <c r="C253" s="6"/>
      <c r="D253" s="11"/>
      <c r="E253" s="6"/>
      <c r="F253" s="6"/>
      <c r="G253" s="6"/>
      <c r="H253" s="6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ht="15.75" customHeight="1">
      <c r="A254" s="1">
        <v>253</v>
      </c>
      <c r="B254" s="6"/>
      <c r="C254" s="6"/>
      <c r="D254" s="11"/>
      <c r="E254" s="6"/>
      <c r="F254" s="6"/>
      <c r="G254" s="6"/>
      <c r="H254" s="6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ht="15.75" customHeight="1">
      <c r="A255" s="1">
        <v>254</v>
      </c>
      <c r="B255" s="6"/>
      <c r="C255" s="6"/>
      <c r="D255" s="11"/>
      <c r="E255" s="6"/>
      <c r="F255" s="6"/>
      <c r="G255" s="6"/>
      <c r="H255" s="6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ht="15.75" customHeight="1">
      <c r="A256" s="1">
        <v>255</v>
      </c>
      <c r="B256" s="6"/>
      <c r="C256" s="6"/>
      <c r="D256" s="11"/>
      <c r="E256" s="6"/>
      <c r="F256" s="6"/>
      <c r="G256" s="6"/>
      <c r="H256" s="6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ht="15.75" customHeight="1">
      <c r="A257" s="1">
        <v>256</v>
      </c>
      <c r="B257" s="6"/>
      <c r="C257" s="6"/>
      <c r="D257" s="11"/>
      <c r="E257" s="6"/>
      <c r="F257" s="6"/>
      <c r="G257" s="6"/>
      <c r="H257" s="6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15.75" customHeight="1">
      <c r="A258" s="1">
        <v>257</v>
      </c>
      <c r="B258" s="6"/>
      <c r="C258" s="6"/>
      <c r="D258" s="11"/>
      <c r="E258" s="6"/>
      <c r="F258" s="6"/>
      <c r="G258" s="6"/>
      <c r="H258" s="6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15.75" customHeight="1">
      <c r="A259" s="1">
        <v>258</v>
      </c>
      <c r="B259" s="6"/>
      <c r="C259" s="6"/>
      <c r="D259" s="11"/>
      <c r="E259" s="6"/>
      <c r="F259" s="6"/>
      <c r="G259" s="6"/>
      <c r="H259" s="6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15.75" customHeight="1">
      <c r="A260" s="1">
        <v>259</v>
      </c>
      <c r="B260" s="6"/>
      <c r="C260" s="6"/>
      <c r="D260" s="11"/>
      <c r="E260" s="6"/>
      <c r="F260" s="6"/>
      <c r="G260" s="6"/>
      <c r="H260" s="6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ht="15.75" customHeight="1">
      <c r="A261" s="1">
        <v>260</v>
      </c>
      <c r="B261" s="6"/>
      <c r="C261" s="6"/>
      <c r="D261" s="11"/>
      <c r="E261" s="6"/>
      <c r="F261" s="6"/>
      <c r="G261" s="6"/>
      <c r="H261" s="6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ht="15.75" customHeight="1">
      <c r="A262" s="1">
        <v>261</v>
      </c>
      <c r="B262" s="6"/>
      <c r="C262" s="6"/>
      <c r="D262" s="11"/>
      <c r="E262" s="6"/>
      <c r="F262" s="6"/>
      <c r="G262" s="6"/>
      <c r="H262" s="6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ht="15.75" customHeight="1">
      <c r="A263" s="1">
        <v>262</v>
      </c>
      <c r="B263" s="6"/>
      <c r="C263" s="6"/>
      <c r="D263" s="11"/>
      <c r="E263" s="6"/>
      <c r="F263" s="6"/>
      <c r="G263" s="6"/>
      <c r="H263" s="6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ht="15.75" customHeight="1">
      <c r="A264" s="1">
        <v>263</v>
      </c>
      <c r="B264" s="6"/>
      <c r="C264" s="6"/>
      <c r="D264" s="11"/>
      <c r="E264" s="6"/>
      <c r="F264" s="6"/>
      <c r="G264" s="6"/>
      <c r="H264" s="6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ht="15.75" customHeight="1">
      <c r="A265" s="1">
        <v>264</v>
      </c>
      <c r="B265" s="6"/>
      <c r="C265" s="6"/>
      <c r="D265" s="11"/>
      <c r="E265" s="6"/>
      <c r="F265" s="6"/>
      <c r="G265" s="6"/>
      <c r="H265" s="6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ht="15.75" customHeight="1">
      <c r="A266" s="1">
        <v>265</v>
      </c>
      <c r="B266" s="6"/>
      <c r="C266" s="6"/>
      <c r="D266" s="11"/>
      <c r="E266" s="6"/>
      <c r="F266" s="6"/>
      <c r="G266" s="6"/>
      <c r="H266" s="6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ht="15.75" customHeight="1">
      <c r="A267" s="1">
        <v>266</v>
      </c>
      <c r="B267" s="6"/>
      <c r="C267" s="6"/>
      <c r="D267" s="11"/>
      <c r="E267" s="6"/>
      <c r="F267" s="6"/>
      <c r="G267" s="6"/>
      <c r="H267" s="6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ht="15.75" customHeight="1">
      <c r="A268" s="1">
        <v>267</v>
      </c>
      <c r="B268" s="6"/>
      <c r="C268" s="6"/>
      <c r="D268" s="11"/>
      <c r="E268" s="6"/>
      <c r="F268" s="6"/>
      <c r="G268" s="6"/>
      <c r="H268" s="6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ht="15.75" customHeight="1">
      <c r="A269" s="1">
        <v>268</v>
      </c>
      <c r="B269" s="6"/>
      <c r="C269" s="6"/>
      <c r="D269" s="11"/>
      <c r="E269" s="6"/>
      <c r="F269" s="6"/>
      <c r="G269" s="6"/>
      <c r="H269" s="6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ht="15.75" customHeight="1">
      <c r="A270" s="1">
        <v>269</v>
      </c>
      <c r="B270" s="6"/>
      <c r="C270" s="6"/>
      <c r="D270" s="11"/>
      <c r="E270" s="6"/>
      <c r="F270" s="6"/>
      <c r="G270" s="6"/>
      <c r="H270" s="6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ht="15.75" customHeight="1">
      <c r="A271" s="1">
        <v>270</v>
      </c>
      <c r="B271" s="6"/>
      <c r="C271" s="6"/>
      <c r="D271" s="11"/>
      <c r="E271" s="6"/>
      <c r="F271" s="6"/>
      <c r="G271" s="6"/>
      <c r="H271" s="6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ht="15.75" customHeight="1">
      <c r="A272" s="1">
        <v>271</v>
      </c>
      <c r="B272" s="6"/>
      <c r="C272" s="6"/>
      <c r="D272" s="11"/>
      <c r="E272" s="6"/>
      <c r="F272" s="6"/>
      <c r="G272" s="6"/>
      <c r="H272" s="6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ht="15.75" customHeight="1">
      <c r="A273" s="1">
        <v>272</v>
      </c>
      <c r="B273" s="6"/>
      <c r="C273" s="6"/>
      <c r="D273" s="11"/>
      <c r="E273" s="6"/>
      <c r="F273" s="6"/>
      <c r="G273" s="6"/>
      <c r="H273" s="6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ht="15.75" customHeight="1">
      <c r="A274" s="1">
        <v>273</v>
      </c>
      <c r="B274" s="6"/>
      <c r="C274" s="6"/>
      <c r="D274" s="11"/>
      <c r="E274" s="6"/>
      <c r="F274" s="6"/>
      <c r="G274" s="6"/>
      <c r="H274" s="6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ht="15.75" customHeight="1">
      <c r="A275" s="1">
        <v>274</v>
      </c>
      <c r="B275" s="6"/>
      <c r="C275" s="6"/>
      <c r="D275" s="11"/>
      <c r="E275" s="6"/>
      <c r="F275" s="6"/>
      <c r="G275" s="6"/>
      <c r="H275" s="6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ht="15.75" customHeight="1">
      <c r="A276" s="1">
        <v>275</v>
      </c>
      <c r="B276" s="6"/>
      <c r="C276" s="6"/>
      <c r="D276" s="11"/>
      <c r="E276" s="6"/>
      <c r="F276" s="6"/>
      <c r="G276" s="6"/>
      <c r="H276" s="6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ht="15.75" customHeight="1">
      <c r="A277" s="1">
        <v>276</v>
      </c>
      <c r="B277" s="6"/>
      <c r="C277" s="6"/>
      <c r="D277" s="11"/>
      <c r="E277" s="6"/>
      <c r="F277" s="6"/>
      <c r="G277" s="6"/>
      <c r="H277" s="6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ht="15.75" customHeight="1">
      <c r="A278" s="1">
        <v>277</v>
      </c>
      <c r="B278" s="6"/>
      <c r="C278" s="6"/>
      <c r="D278" s="11"/>
      <c r="E278" s="6"/>
      <c r="F278" s="6"/>
      <c r="G278" s="6"/>
      <c r="H278" s="6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ht="15.75" customHeight="1">
      <c r="A279" s="1">
        <v>278</v>
      </c>
      <c r="B279" s="6"/>
      <c r="C279" s="6"/>
      <c r="D279" s="11"/>
      <c r="E279" s="6"/>
      <c r="F279" s="6"/>
      <c r="G279" s="6"/>
      <c r="H279" s="6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ht="15.75" customHeight="1">
      <c r="A280" s="1">
        <v>279</v>
      </c>
      <c r="B280" s="6"/>
      <c r="C280" s="6"/>
      <c r="D280" s="11"/>
      <c r="E280" s="6"/>
      <c r="F280" s="6"/>
      <c r="G280" s="6"/>
      <c r="H280" s="6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ht="15.75" customHeight="1">
      <c r="A281" s="1">
        <v>280</v>
      </c>
      <c r="B281" s="6"/>
      <c r="C281" s="6"/>
      <c r="D281" s="11"/>
      <c r="E281" s="6"/>
      <c r="F281" s="6"/>
      <c r="G281" s="6"/>
      <c r="H281" s="6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ht="15.75" customHeight="1">
      <c r="A282" s="1">
        <v>281</v>
      </c>
      <c r="B282" s="6"/>
      <c r="C282" s="6"/>
      <c r="D282" s="11"/>
      <c r="E282" s="6"/>
      <c r="F282" s="6"/>
      <c r="G282" s="6"/>
      <c r="H282" s="6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t="15.75" customHeight="1">
      <c r="A283" s="1">
        <v>282</v>
      </c>
      <c r="B283" s="6"/>
      <c r="C283" s="6"/>
      <c r="D283" s="11"/>
      <c r="E283" s="6"/>
      <c r="F283" s="6"/>
      <c r="G283" s="6"/>
      <c r="H283" s="6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t="15.75" customHeight="1">
      <c r="A284" s="1">
        <v>283</v>
      </c>
      <c r="B284" s="6"/>
      <c r="C284" s="6"/>
      <c r="D284" s="11"/>
      <c r="E284" s="6"/>
      <c r="F284" s="6"/>
      <c r="G284" s="6"/>
      <c r="H284" s="6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t="15.75" customHeight="1">
      <c r="A285" s="1">
        <v>284</v>
      </c>
      <c r="B285" s="6"/>
      <c r="C285" s="6"/>
      <c r="D285" s="11"/>
      <c r="E285" s="6"/>
      <c r="F285" s="6"/>
      <c r="G285" s="6"/>
      <c r="H285" s="6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t="15.75" customHeight="1">
      <c r="A286" s="1">
        <v>285</v>
      </c>
      <c r="B286" s="6"/>
      <c r="C286" s="6"/>
      <c r="D286" s="11"/>
      <c r="E286" s="6"/>
      <c r="F286" s="6"/>
      <c r="G286" s="6"/>
      <c r="H286" s="6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t="15.75" customHeight="1">
      <c r="A287" s="1">
        <v>286</v>
      </c>
      <c r="B287" s="6"/>
      <c r="C287" s="6"/>
      <c r="D287" s="11"/>
      <c r="E287" s="6"/>
      <c r="F287" s="6"/>
      <c r="G287" s="6"/>
      <c r="H287" s="6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t="15.75" customHeight="1">
      <c r="A288" s="1">
        <v>287</v>
      </c>
      <c r="B288" s="6"/>
      <c r="C288" s="6"/>
      <c r="D288" s="11"/>
      <c r="E288" s="6"/>
      <c r="F288" s="6"/>
      <c r="G288" s="6"/>
      <c r="H288" s="6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t="15.75" customHeight="1">
      <c r="A289" s="1">
        <v>288</v>
      </c>
      <c r="B289" s="6"/>
      <c r="C289" s="6"/>
      <c r="D289" s="11"/>
      <c r="E289" s="6"/>
      <c r="F289" s="6"/>
      <c r="G289" s="6"/>
      <c r="H289" s="6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t="15.75" customHeight="1">
      <c r="A290" s="1">
        <v>289</v>
      </c>
      <c r="B290" s="6"/>
      <c r="C290" s="6"/>
      <c r="D290" s="11"/>
      <c r="E290" s="6"/>
      <c r="F290" s="6"/>
      <c r="G290" s="6"/>
      <c r="H290" s="6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t="15.75" customHeight="1">
      <c r="A291" s="1">
        <v>290</v>
      </c>
      <c r="B291" s="6"/>
      <c r="C291" s="6"/>
      <c r="D291" s="11"/>
      <c r="E291" s="6"/>
      <c r="F291" s="6"/>
      <c r="G291" s="6"/>
      <c r="H291" s="6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t="15.75" customHeight="1">
      <c r="A292" s="1">
        <v>291</v>
      </c>
      <c r="B292" s="6"/>
      <c r="C292" s="6"/>
      <c r="D292" s="11"/>
      <c r="E292" s="6"/>
      <c r="F292" s="6"/>
      <c r="G292" s="6"/>
      <c r="H292" s="6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t="15.75" customHeight="1">
      <c r="A293" s="1">
        <v>292</v>
      </c>
      <c r="B293" s="6"/>
      <c r="C293" s="6"/>
      <c r="D293" s="11"/>
      <c r="E293" s="6"/>
      <c r="F293" s="6"/>
      <c r="G293" s="6"/>
      <c r="H293" s="6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t="15.75" customHeight="1">
      <c r="A294" s="1">
        <v>293</v>
      </c>
      <c r="B294" s="6"/>
      <c r="C294" s="6"/>
      <c r="D294" s="11"/>
      <c r="E294" s="6"/>
      <c r="F294" s="6"/>
      <c r="G294" s="6"/>
      <c r="H294" s="6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ht="15.75" customHeight="1">
      <c r="A295" s="1">
        <v>294</v>
      </c>
      <c r="B295" s="6"/>
      <c r="C295" s="6"/>
      <c r="D295" s="11"/>
      <c r="E295" s="6"/>
      <c r="F295" s="6"/>
      <c r="G295" s="6"/>
      <c r="H295" s="6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t="15.75" customHeight="1">
      <c r="A296" s="1">
        <v>295</v>
      </c>
      <c r="B296" s="6"/>
      <c r="C296" s="6"/>
      <c r="D296" s="11"/>
      <c r="E296" s="6"/>
      <c r="F296" s="6"/>
      <c r="G296" s="6"/>
      <c r="H296" s="6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t="15.75" customHeight="1">
      <c r="A297" s="1">
        <v>296</v>
      </c>
      <c r="B297" s="6"/>
      <c r="C297" s="6"/>
      <c r="D297" s="11"/>
      <c r="E297" s="6"/>
      <c r="F297" s="6"/>
      <c r="G297" s="6"/>
      <c r="H297" s="6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t="15.75" customHeight="1">
      <c r="A298" s="1">
        <v>297</v>
      </c>
      <c r="B298" s="6"/>
      <c r="C298" s="6"/>
      <c r="D298" s="11"/>
      <c r="E298" s="6"/>
      <c r="F298" s="6"/>
      <c r="G298" s="6"/>
      <c r="H298" s="6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t="15.75" customHeight="1">
      <c r="A299" s="1">
        <v>298</v>
      </c>
      <c r="B299" s="6"/>
      <c r="C299" s="6"/>
      <c r="D299" s="11"/>
      <c r="E299" s="6"/>
      <c r="F299" s="6"/>
      <c r="G299" s="6"/>
      <c r="H299" s="6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t="15.75" customHeight="1">
      <c r="A300" s="1">
        <v>299</v>
      </c>
      <c r="B300" s="6"/>
      <c r="C300" s="6"/>
      <c r="D300" s="11"/>
      <c r="E300" s="6"/>
      <c r="F300" s="6"/>
      <c r="G300" s="6"/>
      <c r="H300" s="6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t="15.75" customHeight="1">
      <c r="A301" s="1">
        <v>300</v>
      </c>
      <c r="B301" s="6"/>
      <c r="C301" s="6"/>
      <c r="D301" s="11"/>
      <c r="E301" s="6"/>
      <c r="F301" s="6"/>
      <c r="G301" s="6"/>
      <c r="H301" s="6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ht="15.75" customHeight="1"/>
    <row r="503" spans="1:42" ht="15.75" customHeight="1"/>
    <row r="504" spans="1:42" ht="15.75" customHeight="1"/>
    <row r="505" spans="1:42" ht="15.75" customHeight="1"/>
    <row r="506" spans="1:42" ht="15.75" customHeight="1"/>
    <row r="507" spans="1:42" ht="15.75" customHeight="1"/>
    <row r="508" spans="1:42" ht="15.75" customHeight="1"/>
    <row r="509" spans="1:42" ht="15.75" customHeight="1"/>
    <row r="510" spans="1:42" ht="15.75" customHeight="1"/>
    <row r="511" spans="1:42" ht="15.75" customHeight="1"/>
    <row r="512" spans="1:4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L1:AM1"/>
    <mergeCell ref="AO1:AP1"/>
    <mergeCell ref="AH2:AH3"/>
    <mergeCell ref="AI2:AI3"/>
    <mergeCell ref="AJ2:AJ3"/>
    <mergeCell ref="AI4:AI5"/>
    <mergeCell ref="AJ4:AJ5"/>
    <mergeCell ref="AH4:AH5"/>
    <mergeCell ref="AH6:AH7"/>
    <mergeCell ref="AI6:AI7"/>
    <mergeCell ref="AJ6:AJ7"/>
    <mergeCell ref="AH8:AH9"/>
    <mergeCell ref="AI8:AI9"/>
    <mergeCell ref="AJ8:AJ9"/>
    <mergeCell ref="AI14:AI15"/>
    <mergeCell ref="AJ14:AJ15"/>
    <mergeCell ref="AH10:AH11"/>
    <mergeCell ref="AI10:AI11"/>
    <mergeCell ref="AJ10:AJ11"/>
    <mergeCell ref="AH12:AH13"/>
    <mergeCell ref="AI12:AI13"/>
    <mergeCell ref="AJ12:AJ13"/>
    <mergeCell ref="AH14:AH15"/>
    <mergeCell ref="AI20:AI21"/>
    <mergeCell ref="AJ20:AJ21"/>
    <mergeCell ref="AH16:AH17"/>
    <mergeCell ref="AI16:AI17"/>
    <mergeCell ref="AJ16:AJ17"/>
    <mergeCell ref="AH18:AH19"/>
    <mergeCell ref="AI18:AI19"/>
    <mergeCell ref="AJ18:AJ19"/>
    <mergeCell ref="AH20:AH2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CC"/>
  </sheetPr>
  <dimension ref="A1:L1000"/>
  <sheetViews>
    <sheetView workbookViewId="0">
      <selection activeCell="A16" sqref="A16"/>
    </sheetView>
  </sheetViews>
  <sheetFormatPr baseColWidth="10" defaultColWidth="14.42578125" defaultRowHeight="15" customHeight="1"/>
  <cols>
    <col min="1" max="1" width="14.85546875" customWidth="1"/>
    <col min="2" max="3" width="28.7109375" customWidth="1"/>
    <col min="4" max="5" width="10.7109375" customWidth="1"/>
    <col min="6" max="6" width="18.28515625" customWidth="1"/>
    <col min="7" max="11" width="10.7109375" customWidth="1"/>
    <col min="12" max="12" width="16.7109375" customWidth="1"/>
  </cols>
  <sheetData>
    <row r="1" spans="1:12">
      <c r="A1" s="42" t="s">
        <v>1</v>
      </c>
      <c r="B1" s="43"/>
      <c r="C1" s="23"/>
      <c r="E1" s="44" t="s">
        <v>4</v>
      </c>
      <c r="F1" s="39"/>
      <c r="H1" s="45" t="s">
        <v>5</v>
      </c>
      <c r="I1" s="43"/>
      <c r="K1" s="45" t="s">
        <v>6</v>
      </c>
      <c r="L1" s="43"/>
    </row>
    <row r="2" spans="1:12">
      <c r="A2" s="6" t="s">
        <v>57</v>
      </c>
      <c r="B2" s="21" t="s">
        <v>58</v>
      </c>
      <c r="C2" s="24"/>
      <c r="E2" s="25" t="s">
        <v>22</v>
      </c>
      <c r="F2" s="26" t="s">
        <v>59</v>
      </c>
      <c r="H2" s="6" t="s">
        <v>20</v>
      </c>
      <c r="I2" s="26" t="s">
        <v>60</v>
      </c>
      <c r="K2" s="6" t="s">
        <v>23</v>
      </c>
      <c r="L2" s="21" t="s">
        <v>61</v>
      </c>
    </row>
    <row r="3" spans="1:12">
      <c r="A3" s="6" t="s">
        <v>18</v>
      </c>
      <c r="B3" s="21" t="s">
        <v>62</v>
      </c>
      <c r="C3" s="24"/>
      <c r="E3" s="25" t="s">
        <v>26</v>
      </c>
      <c r="F3" s="26" t="s">
        <v>63</v>
      </c>
      <c r="H3" s="6" t="s">
        <v>29</v>
      </c>
      <c r="I3" s="26" t="s">
        <v>64</v>
      </c>
      <c r="K3" s="6" t="s">
        <v>30</v>
      </c>
      <c r="L3" s="21" t="s">
        <v>65</v>
      </c>
    </row>
    <row r="4" spans="1:12">
      <c r="A4" s="6" t="s">
        <v>28</v>
      </c>
      <c r="B4" s="21" t="s">
        <v>66</v>
      </c>
      <c r="C4" s="24"/>
      <c r="E4" s="25" t="s">
        <v>19</v>
      </c>
      <c r="F4" s="26" t="s">
        <v>67</v>
      </c>
      <c r="K4" s="6" t="s">
        <v>34</v>
      </c>
      <c r="L4" s="21" t="s">
        <v>68</v>
      </c>
    </row>
    <row r="5" spans="1:12">
      <c r="A5" s="6" t="s">
        <v>32</v>
      </c>
      <c r="B5" s="21" t="s">
        <v>69</v>
      </c>
      <c r="C5" s="24"/>
      <c r="E5" s="25" t="s">
        <v>36</v>
      </c>
      <c r="F5" s="26" t="s">
        <v>70</v>
      </c>
      <c r="K5" s="6" t="s">
        <v>27</v>
      </c>
      <c r="L5" s="21" t="s">
        <v>71</v>
      </c>
    </row>
    <row r="6" spans="1:12">
      <c r="A6" s="14" t="s">
        <v>35</v>
      </c>
      <c r="B6" s="21" t="s">
        <v>72</v>
      </c>
      <c r="C6" s="24"/>
      <c r="E6" s="25" t="s">
        <v>20</v>
      </c>
      <c r="F6" s="26" t="s">
        <v>73</v>
      </c>
      <c r="K6" s="6" t="s">
        <v>21</v>
      </c>
      <c r="L6" s="21" t="s">
        <v>74</v>
      </c>
    </row>
    <row r="7" spans="1:12">
      <c r="A7" s="6" t="s">
        <v>31</v>
      </c>
      <c r="B7" s="27" t="s">
        <v>75</v>
      </c>
      <c r="C7" s="28"/>
      <c r="E7" s="25" t="s">
        <v>39</v>
      </c>
      <c r="F7" s="26" t="s">
        <v>76</v>
      </c>
    </row>
    <row r="8" spans="1:12">
      <c r="A8" s="6" t="s">
        <v>38</v>
      </c>
      <c r="B8" s="21" t="s">
        <v>77</v>
      </c>
      <c r="C8" s="24"/>
      <c r="E8" s="2"/>
    </row>
    <row r="9" spans="1:12">
      <c r="A9" s="14" t="s">
        <v>41</v>
      </c>
      <c r="B9" s="21" t="s">
        <v>78</v>
      </c>
      <c r="C9" s="24"/>
    </row>
    <row r="10" spans="1:12">
      <c r="A10" s="14" t="s">
        <v>42</v>
      </c>
      <c r="B10" s="21" t="s">
        <v>79</v>
      </c>
      <c r="C10" s="24"/>
    </row>
    <row r="11" spans="1:12">
      <c r="A11" s="14" t="s">
        <v>43</v>
      </c>
      <c r="B11" s="21" t="s">
        <v>80</v>
      </c>
      <c r="C11" s="24"/>
    </row>
    <row r="12" spans="1:12">
      <c r="A12" s="14" t="s">
        <v>44</v>
      </c>
      <c r="B12" s="21" t="s">
        <v>81</v>
      </c>
      <c r="C12" s="24"/>
    </row>
    <row r="13" spans="1:12">
      <c r="A13" s="6" t="s">
        <v>45</v>
      </c>
      <c r="B13" s="21" t="s">
        <v>82</v>
      </c>
      <c r="C13" s="24"/>
    </row>
    <row r="14" spans="1:12">
      <c r="A14" s="6" t="s">
        <v>46</v>
      </c>
      <c r="B14" s="21" t="s">
        <v>83</v>
      </c>
      <c r="C14" s="24"/>
    </row>
    <row r="15" spans="1:12">
      <c r="A15" s="6" t="s">
        <v>47</v>
      </c>
      <c r="B15" s="21" t="s">
        <v>84</v>
      </c>
      <c r="C15" s="24"/>
    </row>
    <row r="16" spans="1:12">
      <c r="A16" s="6" t="s">
        <v>48</v>
      </c>
      <c r="B16" s="21" t="s">
        <v>85</v>
      </c>
      <c r="C16" s="24"/>
    </row>
    <row r="17" spans="1:3">
      <c r="A17" s="6" t="s">
        <v>49</v>
      </c>
      <c r="B17" s="21" t="s">
        <v>86</v>
      </c>
      <c r="C17" s="24"/>
    </row>
    <row r="18" spans="1:3">
      <c r="A18" s="6" t="s">
        <v>50</v>
      </c>
      <c r="B18" s="21" t="s">
        <v>87</v>
      </c>
      <c r="C18" s="24"/>
    </row>
    <row r="19" spans="1:3">
      <c r="A19" s="6" t="s">
        <v>51</v>
      </c>
      <c r="B19" s="21" t="s">
        <v>88</v>
      </c>
      <c r="C19" s="24"/>
    </row>
    <row r="20" spans="1:3">
      <c r="A20" s="6" t="s">
        <v>52</v>
      </c>
      <c r="B20" s="21" t="s">
        <v>89</v>
      </c>
      <c r="C20" s="24"/>
    </row>
    <row r="21" spans="1:3" ht="15.75" customHeight="1">
      <c r="A21" s="46" t="s">
        <v>53</v>
      </c>
      <c r="B21" s="39"/>
      <c r="C21" s="2"/>
    </row>
    <row r="22" spans="1:3" ht="15.75" customHeight="1">
      <c r="A22" s="40" t="s">
        <v>54</v>
      </c>
      <c r="B22" s="41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2:B22"/>
    <mergeCell ref="A1:B1"/>
    <mergeCell ref="E1:F1"/>
    <mergeCell ref="H1:I1"/>
    <mergeCell ref="K1:L1"/>
    <mergeCell ref="A21:B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D3:F19"/>
  <sheetViews>
    <sheetView workbookViewId="0">
      <selection activeCell="G23" sqref="G23"/>
    </sheetView>
  </sheetViews>
  <sheetFormatPr baseColWidth="10" defaultColWidth="14.42578125" defaultRowHeight="15" customHeight="1"/>
  <cols>
    <col min="3" max="3" width="8.28515625" customWidth="1"/>
    <col min="4" max="4" width="18.42578125" customWidth="1"/>
  </cols>
  <sheetData>
    <row r="3" spans="4:6" ht="15" customHeight="1">
      <c r="D3" s="1" t="s">
        <v>4</v>
      </c>
      <c r="E3" s="1" t="s">
        <v>8</v>
      </c>
      <c r="F3" s="1" t="s">
        <v>9</v>
      </c>
    </row>
    <row r="4" spans="4:6" ht="15" customHeight="1">
      <c r="D4" s="6" t="s">
        <v>232</v>
      </c>
      <c r="E4" s="6">
        <f ca="1">COUNTIF($E:$E,D4)</f>
        <v>0</v>
      </c>
      <c r="F4" s="6">
        <f ca="1">(E4*H3100)/$S$8</f>
        <v>0</v>
      </c>
    </row>
    <row r="5" spans="4:6" ht="15" customHeight="1">
      <c r="D5" s="6" t="s">
        <v>233</v>
      </c>
      <c r="E5" s="6">
        <f t="shared" ref="E4:E9" ca="1" si="0">COUNTIF($E:$E,D5)</f>
        <v>4</v>
      </c>
      <c r="F5" s="6">
        <f t="shared" ref="F4:F10" ca="1" si="1">(E5*100)/$S$8</f>
        <v>2.3391812865497075</v>
      </c>
    </row>
    <row r="6" spans="4:6" ht="15" customHeight="1">
      <c r="D6" s="6" t="s">
        <v>234</v>
      </c>
      <c r="E6" s="6">
        <f t="shared" ca="1" si="0"/>
        <v>24</v>
      </c>
      <c r="F6" s="6">
        <f t="shared" ca="1" si="1"/>
        <v>14.035087719298245</v>
      </c>
    </row>
    <row r="7" spans="4:6" ht="15" customHeight="1">
      <c r="D7" s="6" t="s">
        <v>235</v>
      </c>
      <c r="E7" s="6">
        <f t="shared" ca="1" si="0"/>
        <v>35</v>
      </c>
      <c r="F7" s="6">
        <f t="shared" ca="1" si="1"/>
        <v>20.467836257309941</v>
      </c>
    </row>
    <row r="8" spans="4:6" ht="15" customHeight="1">
      <c r="D8" s="6" t="s">
        <v>236</v>
      </c>
      <c r="E8" s="6">
        <f t="shared" ca="1" si="0"/>
        <v>78</v>
      </c>
      <c r="F8" s="6">
        <f t="shared" ca="1" si="1"/>
        <v>45.614035087719301</v>
      </c>
    </row>
    <row r="9" spans="4:6" ht="15" customHeight="1">
      <c r="D9" s="6" t="s">
        <v>237</v>
      </c>
      <c r="E9" s="6">
        <f t="shared" ca="1" si="0"/>
        <v>28</v>
      </c>
      <c r="F9" s="6">
        <f t="shared" ca="1" si="1"/>
        <v>16.374269005847953</v>
      </c>
    </row>
    <row r="10" spans="4:6" ht="15" customHeight="1">
      <c r="D10" s="6" t="s">
        <v>33</v>
      </c>
      <c r="E10" s="6">
        <f ca="1">SUM(E4:E9)</f>
        <v>171</v>
      </c>
      <c r="F10" s="6">
        <f t="shared" ca="1" si="1"/>
        <v>100</v>
      </c>
    </row>
    <row r="14" spans="4:6" ht="15" customHeight="1">
      <c r="D14" s="6" t="s">
        <v>232</v>
      </c>
      <c r="E14" s="6" t="e">
        <f t="shared" ref="E14:E19" si="2">(D14*100)/$S$8</f>
        <v>#VALUE!</v>
      </c>
    </row>
    <row r="15" spans="4:6" ht="15" customHeight="1">
      <c r="D15" s="6" t="s">
        <v>233</v>
      </c>
      <c r="E15" s="6" t="e">
        <f t="shared" si="2"/>
        <v>#VALUE!</v>
      </c>
    </row>
    <row r="16" spans="4:6" ht="15" customHeight="1">
      <c r="D16" s="6" t="s">
        <v>234</v>
      </c>
      <c r="E16" s="6" t="e">
        <f t="shared" si="2"/>
        <v>#VALUE!</v>
      </c>
    </row>
    <row r="17" spans="4:5" ht="15" customHeight="1">
      <c r="D17" s="6" t="s">
        <v>235</v>
      </c>
      <c r="E17" s="6" t="e">
        <f t="shared" si="2"/>
        <v>#VALUE!</v>
      </c>
    </row>
    <row r="18" spans="4:5" ht="15" customHeight="1">
      <c r="D18" s="6" t="s">
        <v>236</v>
      </c>
      <c r="E18" s="6" t="e">
        <f t="shared" si="2"/>
        <v>#VALUE!</v>
      </c>
    </row>
    <row r="19" spans="4:5" ht="15" customHeight="1">
      <c r="D19" s="6" t="s">
        <v>237</v>
      </c>
      <c r="E19" s="6" t="e">
        <f t="shared" si="2"/>
        <v>#VALUE!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CONTEO</vt:lpstr>
      <vt:lpstr>SIMBOLOS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lermaster079@gmail.com</cp:lastModifiedBy>
  <dcterms:modified xsi:type="dcterms:W3CDTF">2022-11-20T05:40:04Z</dcterms:modified>
</cp:coreProperties>
</file>